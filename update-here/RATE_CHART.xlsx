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5"/>
  <sheetViews>
    <sheetView tabSelected="1" workbookViewId="0">
      <selection activeCell="T8" sqref="T8"/>
    </sheetView>
  </sheetViews>
  <sheetFormatPr baseColWidth="8" defaultRowHeight="15"/>
  <cols>
    <col width="29.7109375" customWidth="1" min="2" max="2"/>
    <col width="38" customWidth="1" min="17" max="17"/>
    <col width="14" customWidth="1" min="18" max="18"/>
  </cols>
  <sheetData>
    <row r="1" ht="90.75" customHeight="1" thickBot="1">
      <c r="A1" s="1" t="inlineStr">
        <is>
          <t>Material Code</t>
        </is>
      </c>
      <c r="B1" s="1" t="inlineStr">
        <is>
          <t>SKU</t>
        </is>
      </c>
      <c r="C1" s="1" t="inlineStr">
        <is>
          <t>EUn</t>
        </is>
      </c>
      <c r="D1" s="1" t="inlineStr">
        <is>
          <t>Segment</t>
        </is>
      </c>
      <c r="E1" s="1" t="inlineStr">
        <is>
          <t>Pack</t>
        </is>
      </c>
      <c r="F1" s="1" t="inlineStr">
        <is>
          <t>Pack Size</t>
        </is>
      </c>
      <c r="G1" s="1" t="inlineStr">
        <is>
          <t>No. of CAN</t>
        </is>
      </c>
      <c r="H1" s="1" t="inlineStr">
        <is>
          <t>MRP</t>
        </is>
      </c>
      <c r="I1" s="1" t="inlineStr">
        <is>
          <t>DLP</t>
        </is>
      </c>
      <c r="J1" s="1" t="inlineStr">
        <is>
          <t>RSP</t>
        </is>
      </c>
      <c r="K1" s="1" t="inlineStr">
        <is>
          <t>Prod Discount-Q3 per Lit</t>
        </is>
      </c>
      <c r="L1" s="1" t="inlineStr">
        <is>
          <t>HO Scheme Per CAN/BUC</t>
        </is>
      </c>
      <c r="M1" s="1" t="inlineStr">
        <is>
          <t>RSP After Scheme</t>
        </is>
      </c>
      <c r="N1" s="1" t="inlineStr">
        <is>
          <t>Premium Free SKU (1 CAN FREE IN EVERY 20 CAN)</t>
        </is>
      </c>
      <c r="O1" s="1" t="inlineStr">
        <is>
          <t>Rate without GST</t>
        </is>
      </c>
      <c r="P1" s="1" t="inlineStr">
        <is>
          <t>Rate with GST(18%)</t>
        </is>
      </c>
      <c r="Q1" s="1" t="inlineStr">
        <is>
          <t>Offer</t>
        </is>
      </c>
      <c r="R1" s="1" t="inlineStr">
        <is>
          <t>Valid Till</t>
        </is>
      </c>
    </row>
    <row r="2">
      <c r="A2" s="2" t="n">
        <v>2502174</v>
      </c>
      <c r="B2" s="2" t="inlineStr">
        <is>
          <t>SERVO GEAR HP 90-40X1/2L-HDPE</t>
        </is>
      </c>
      <c r="C2" s="3" t="inlineStr">
        <is>
          <t>CAR</t>
        </is>
      </c>
      <c r="D2" s="3" t="n"/>
      <c r="E2" s="3" t="n">
        <v>20</v>
      </c>
      <c r="F2" s="3" t="n">
        <v>0.5</v>
      </c>
      <c r="G2" s="3">
        <f>E2/F2</f>
        <v/>
      </c>
      <c r="H2" s="3" t="n">
        <v>250</v>
      </c>
      <c r="I2" s="4" t="n">
        <v>189.3</v>
      </c>
      <c r="J2" s="4">
        <f>I2/1.18</f>
        <v/>
      </c>
      <c r="K2" s="5" t="n">
        <v>0</v>
      </c>
      <c r="L2" s="5">
        <f>(K2)*F2</f>
        <v/>
      </c>
      <c r="M2" s="4">
        <f>J2-L2</f>
        <v/>
      </c>
      <c r="N2" s="3" t="n">
        <v>50</v>
      </c>
      <c r="O2" s="4">
        <f>M2-N2</f>
        <v/>
      </c>
      <c r="P2" s="6">
        <f>O2*1.18</f>
        <v/>
      </c>
    </row>
    <row r="3">
      <c r="A3" s="2" t="n">
        <v>2502175</v>
      </c>
      <c r="B3" s="2" t="inlineStr">
        <is>
          <t>SERVO GEAR HP 90-20X1/2L-HDPE</t>
        </is>
      </c>
      <c r="C3" s="3" t="inlineStr">
        <is>
          <t>CAR</t>
        </is>
      </c>
      <c r="D3" s="3" t="n"/>
      <c r="E3" s="3" t="n">
        <v>10</v>
      </c>
      <c r="F3" s="3" t="n">
        <v>0.5</v>
      </c>
      <c r="G3" s="3">
        <f>E3/F3</f>
        <v/>
      </c>
      <c r="H3" s="3" t="n">
        <v>250</v>
      </c>
      <c r="I3" s="4" t="n">
        <v>189.3</v>
      </c>
      <c r="J3" s="4">
        <f>I3/1.18</f>
        <v/>
      </c>
      <c r="K3" s="5" t="n">
        <v>0</v>
      </c>
      <c r="L3" s="5">
        <f>(K3)*F3</f>
        <v/>
      </c>
      <c r="M3" s="4">
        <f>J3-L3</f>
        <v/>
      </c>
      <c r="N3" s="3" t="n">
        <v>50</v>
      </c>
      <c r="O3" s="4">
        <f>M3-N3</f>
        <v/>
      </c>
      <c r="P3" s="6">
        <f>O3*1.18</f>
        <v/>
      </c>
    </row>
    <row r="4">
      <c r="A4" s="2" t="n">
        <v>2502184</v>
      </c>
      <c r="B4" s="2" t="inlineStr">
        <is>
          <t>SERVO GEAR HP 90-20X1L-HDPE</t>
        </is>
      </c>
      <c r="C4" s="3" t="inlineStr">
        <is>
          <t>CAR</t>
        </is>
      </c>
      <c r="D4" s="3" t="n"/>
      <c r="E4" s="3" t="n">
        <v>20</v>
      </c>
      <c r="F4" s="3" t="n">
        <v>1</v>
      </c>
      <c r="G4" s="3">
        <f>E4/F4</f>
        <v/>
      </c>
      <c r="H4" s="3" t="n">
        <v>466</v>
      </c>
      <c r="I4" s="4" t="n">
        <v>360.451</v>
      </c>
      <c r="J4" s="4">
        <f>I4/1.18</f>
        <v/>
      </c>
      <c r="K4" s="5" t="n">
        <v>50</v>
      </c>
      <c r="L4" s="5">
        <f>(K4)*F4</f>
        <v/>
      </c>
      <c r="M4" s="4">
        <f>J4-L4</f>
        <v/>
      </c>
      <c r="N4" s="3" t="n">
        <v>50</v>
      </c>
      <c r="O4" s="4">
        <f>M4-N4</f>
        <v/>
      </c>
      <c r="P4" s="6">
        <f>O4*1.18</f>
        <v/>
      </c>
    </row>
    <row r="5">
      <c r="A5" s="2" t="n">
        <v>2502234</v>
      </c>
      <c r="B5" s="2" t="inlineStr">
        <is>
          <t>SERVO GEAR HP 90 - 4x5L - HDPE</t>
        </is>
      </c>
      <c r="C5" s="3" t="inlineStr">
        <is>
          <t>CAR</t>
        </is>
      </c>
      <c r="D5" s="3" t="n"/>
      <c r="E5" s="3" t="n">
        <v>20</v>
      </c>
      <c r="F5" s="3" t="n">
        <v>5</v>
      </c>
      <c r="G5" s="3">
        <f>E5/F5</f>
        <v/>
      </c>
      <c r="H5" s="3" t="n">
        <v>2316</v>
      </c>
      <c r="I5" s="4" t="n">
        <v>1788.6468</v>
      </c>
      <c r="J5" s="4">
        <f>I5/1.18</f>
        <v/>
      </c>
      <c r="K5" s="5" t="n">
        <v>50</v>
      </c>
      <c r="L5" s="5">
        <f>(K5)*F5</f>
        <v/>
      </c>
      <c r="M5" s="4">
        <f>J5-L5</f>
        <v/>
      </c>
      <c r="N5" s="3" t="n">
        <v>50</v>
      </c>
      <c r="O5" s="4">
        <f>M5-N5</f>
        <v/>
      </c>
      <c r="P5" s="6">
        <f>O5*1.18</f>
        <v/>
      </c>
    </row>
    <row r="6">
      <c r="A6" s="2" t="n">
        <v>2502265</v>
      </c>
      <c r="B6" s="2" t="inlineStr">
        <is>
          <t>SERVO GEAR HP 90-20L BUC</t>
        </is>
      </c>
      <c r="C6" s="3" t="inlineStr">
        <is>
          <t>BUC</t>
        </is>
      </c>
      <c r="D6" s="3" t="n"/>
      <c r="E6" s="3" t="n">
        <v>20</v>
      </c>
      <c r="F6" s="3" t="n">
        <v>20</v>
      </c>
      <c r="G6" s="3">
        <f>E6/F6</f>
        <v/>
      </c>
      <c r="H6" s="3" t="n">
        <v>9088</v>
      </c>
      <c r="I6" s="4" t="n">
        <v>7065.92</v>
      </c>
      <c r="J6" s="4">
        <f>I6/1.18</f>
        <v/>
      </c>
      <c r="K6" s="5" t="n">
        <v>50</v>
      </c>
      <c r="L6" s="5">
        <f>(K6)*F6</f>
        <v/>
      </c>
      <c r="M6" s="4">
        <f>J6-L6</f>
        <v/>
      </c>
      <c r="N6" s="3" t="n">
        <v>50</v>
      </c>
      <c r="O6" s="4">
        <f>M6-N6</f>
        <v/>
      </c>
      <c r="P6" s="6">
        <f>O6*1.18</f>
        <v/>
      </c>
    </row>
    <row r="7">
      <c r="A7" s="2" t="n">
        <v>2503184</v>
      </c>
      <c r="B7" s="2" t="inlineStr">
        <is>
          <t>SERVO GEAR HP 140 - 20x1L - HDPE</t>
        </is>
      </c>
      <c r="C7" s="3" t="inlineStr">
        <is>
          <t>CAR</t>
        </is>
      </c>
      <c r="D7" s="3" t="n"/>
      <c r="E7" s="3" t="n">
        <v>20</v>
      </c>
      <c r="F7" s="3" t="n">
        <v>1</v>
      </c>
      <c r="G7" s="3">
        <f>E7/F7</f>
        <v/>
      </c>
      <c r="H7" s="3" t="n">
        <v>484</v>
      </c>
      <c r="I7" s="4" t="n">
        <v>371.954</v>
      </c>
      <c r="J7" s="4">
        <f>I7/1.18</f>
        <v/>
      </c>
      <c r="K7" s="5" t="n">
        <v>50</v>
      </c>
      <c r="L7" s="5">
        <f>(K7)*F7</f>
        <v/>
      </c>
      <c r="M7" s="4">
        <f>J7-L7</f>
        <v/>
      </c>
      <c r="N7" s="3" t="n">
        <v>50</v>
      </c>
      <c r="O7" s="4">
        <f>M7-N7</f>
        <v/>
      </c>
      <c r="P7" s="6">
        <f>O7*1.18</f>
        <v/>
      </c>
    </row>
    <row r="8">
      <c r="A8" s="2" t="n">
        <v>2503234</v>
      </c>
      <c r="B8" s="2" t="inlineStr">
        <is>
          <t>SERVO GEAR HP 140 - 4x5L - HDPE</t>
        </is>
      </c>
      <c r="C8" s="3" t="inlineStr">
        <is>
          <t>CAR</t>
        </is>
      </c>
      <c r="D8" s="3" t="n"/>
      <c r="E8" s="3" t="n">
        <v>20</v>
      </c>
      <c r="F8" s="3" t="n">
        <v>5</v>
      </c>
      <c r="G8" s="3">
        <f>E8/F8</f>
        <v/>
      </c>
      <c r="H8" s="3" t="n">
        <v>2364</v>
      </c>
      <c r="I8" s="4" t="n">
        <v>1843.92</v>
      </c>
      <c r="J8" s="4">
        <f>I8/1.18</f>
        <v/>
      </c>
      <c r="K8" s="5" t="n">
        <v>50</v>
      </c>
      <c r="L8" s="5">
        <f>(K8)*F8</f>
        <v/>
      </c>
      <c r="M8" s="4">
        <f>J8-L8</f>
        <v/>
      </c>
      <c r="N8" s="3" t="n">
        <v>50</v>
      </c>
      <c r="O8" s="4">
        <f>M8-N8</f>
        <v/>
      </c>
      <c r="P8" s="6">
        <f>O8*1.18</f>
        <v/>
      </c>
    </row>
    <row r="9">
      <c r="A9" s="2" t="n">
        <v>2503265</v>
      </c>
      <c r="B9" s="2" t="inlineStr">
        <is>
          <t>SERVO GEAR HP 140-20L BUC</t>
        </is>
      </c>
      <c r="C9" s="3" t="inlineStr">
        <is>
          <t>BUC</t>
        </is>
      </c>
      <c r="D9" s="3" t="n"/>
      <c r="E9" s="3" t="n">
        <v>20</v>
      </c>
      <c r="F9" s="3" t="n">
        <v>20</v>
      </c>
      <c r="G9" s="3">
        <f>E9/F9</f>
        <v/>
      </c>
      <c r="H9" s="3" t="n">
        <v>9357</v>
      </c>
      <c r="I9" s="4" t="n">
        <v>7255.4178</v>
      </c>
      <c r="J9" s="4">
        <f>I9/1.18</f>
        <v/>
      </c>
      <c r="K9" s="5" t="n">
        <v>50</v>
      </c>
      <c r="L9" s="5">
        <f>(K9)*F9</f>
        <v/>
      </c>
      <c r="M9" s="4">
        <f>J9-L9</f>
        <v/>
      </c>
      <c r="N9" s="3" t="n"/>
      <c r="O9" s="4">
        <f>M9-N9</f>
        <v/>
      </c>
      <c r="P9" s="6">
        <f>O9*1.18</f>
        <v/>
      </c>
    </row>
    <row r="10">
      <c r="A10" s="2" t="n">
        <v>2540199</v>
      </c>
      <c r="B10" s="2" t="inlineStr">
        <is>
          <t>MGGO 80W-90 - 4 X 2.1 L</t>
        </is>
      </c>
      <c r="C10" s="3" t="inlineStr">
        <is>
          <t>CAR</t>
        </is>
      </c>
      <c r="D10" s="3" t="n"/>
      <c r="E10" s="3" t="n">
        <v>8.4</v>
      </c>
      <c r="F10" s="3" t="n">
        <v>2.1</v>
      </c>
      <c r="G10" s="3">
        <f>E10/F10</f>
        <v/>
      </c>
      <c r="H10" s="3" t="n">
        <v>876</v>
      </c>
      <c r="I10" s="4" t="n">
        <v>725.8536</v>
      </c>
      <c r="J10" s="4">
        <f>I10/1.18</f>
        <v/>
      </c>
      <c r="K10" s="5" t="n">
        <v>0</v>
      </c>
      <c r="L10" s="5">
        <f>(K10)*F10</f>
        <v/>
      </c>
      <c r="M10" s="4">
        <f>J10-L10</f>
        <v/>
      </c>
      <c r="N10" s="3" t="n"/>
      <c r="O10" s="4">
        <f>M10-N10</f>
        <v/>
      </c>
      <c r="P10" s="6">
        <f>O10*1.18</f>
        <v/>
      </c>
    </row>
    <row r="11">
      <c r="A11" s="2" t="n">
        <v>2557195</v>
      </c>
      <c r="B11" s="2" t="inlineStr">
        <is>
          <t>HYUNDAI S.GEAR OIL 75W-85-4X2.5L-HDPE</t>
        </is>
      </c>
      <c r="C11" s="3" t="inlineStr">
        <is>
          <t>CAR</t>
        </is>
      </c>
      <c r="D11" s="3" t="n"/>
      <c r="E11" s="3" t="n">
        <v>10</v>
      </c>
      <c r="F11" s="3" t="n">
        <v>2.5</v>
      </c>
      <c r="G11" s="3">
        <f>E11/F11</f>
        <v/>
      </c>
      <c r="H11" s="3" t="n">
        <v>1488</v>
      </c>
      <c r="I11" s="4" t="n">
        <v>1340.0928</v>
      </c>
      <c r="J11" s="4">
        <f>I11/1.18</f>
        <v/>
      </c>
      <c r="K11" s="5" t="n">
        <v>0</v>
      </c>
      <c r="L11" s="5">
        <f>(K11)*F11</f>
        <v/>
      </c>
      <c r="M11" s="4">
        <f>J11-L11</f>
        <v/>
      </c>
      <c r="N11" s="3" t="n"/>
      <c r="O11" s="4">
        <f>M11-N11</f>
        <v/>
      </c>
      <c r="P11" s="6">
        <f>O11*1.18</f>
        <v/>
      </c>
    </row>
    <row r="12">
      <c r="A12" s="2" t="n">
        <v>2885036</v>
      </c>
      <c r="B12" s="2" t="inlineStr">
        <is>
          <t>SERVO SCOOTOMATIC XTRA 5W-30-20 X 600 ML</t>
        </is>
      </c>
      <c r="C12" s="3" t="inlineStr">
        <is>
          <t>CAR</t>
        </is>
      </c>
      <c r="D12" s="3" t="n"/>
      <c r="E12" s="3" t="n">
        <v>12</v>
      </c>
      <c r="F12" s="3" t="n">
        <v>0.6</v>
      </c>
      <c r="G12" s="3">
        <f>E12/F12</f>
        <v/>
      </c>
      <c r="H12" s="3" t="n">
        <v>419</v>
      </c>
      <c r="I12" s="4" t="n">
        <v>304.6968</v>
      </c>
      <c r="J12" s="4">
        <f>I12/1.18</f>
        <v/>
      </c>
      <c r="K12" s="5" t="n">
        <v>85</v>
      </c>
      <c r="L12" s="5">
        <f>(K12)*F12</f>
        <v/>
      </c>
      <c r="M12" s="4">
        <f>J12-L12</f>
        <v/>
      </c>
      <c r="N12" s="3" t="n"/>
      <c r="O12" s="4">
        <f>M12-N12</f>
        <v/>
      </c>
      <c r="P12" s="6">
        <f>O12*1.18</f>
        <v/>
      </c>
    </row>
    <row r="13">
      <c r="A13" s="2" t="n">
        <v>2889156</v>
      </c>
      <c r="B13" s="2" t="inlineStr">
        <is>
          <t>SERVO SCOOTOMATIC 4ST 10W-30-20 X 0.8 L</t>
        </is>
      </c>
      <c r="C13" s="3" t="inlineStr">
        <is>
          <t>CAR</t>
        </is>
      </c>
      <c r="D13" s="3" t="n"/>
      <c r="E13" s="3" t="n">
        <v>16</v>
      </c>
      <c r="F13" s="3" t="n">
        <v>0.8</v>
      </c>
      <c r="G13" s="3">
        <f>E13/F13</f>
        <v/>
      </c>
      <c r="H13" s="3" t="n">
        <v>483</v>
      </c>
      <c r="I13" s="4" t="n">
        <v>327.7638</v>
      </c>
      <c r="J13" s="4">
        <f>I13/1.18</f>
        <v/>
      </c>
      <c r="K13" s="5" t="n">
        <v>60</v>
      </c>
      <c r="L13" s="5">
        <f>(K13)*F13</f>
        <v/>
      </c>
      <c r="M13" s="4">
        <f>J13-L13</f>
        <v/>
      </c>
      <c r="N13" s="3" t="n"/>
      <c r="O13" s="4">
        <f>M13-N13</f>
        <v/>
      </c>
      <c r="P13" s="6">
        <f>O13*1.18</f>
        <v/>
      </c>
    </row>
    <row r="14">
      <c r="A14" s="2" t="n">
        <v>2900103</v>
      </c>
      <c r="B14" s="2" t="inlineStr">
        <is>
          <t>SERVO 2T SUPREME-600 X 20 ML</t>
        </is>
      </c>
      <c r="C14" s="3" t="inlineStr">
        <is>
          <t>CAR</t>
        </is>
      </c>
      <c r="D14" s="3" t="n"/>
      <c r="E14" s="3" t="n">
        <v>12</v>
      </c>
      <c r="F14" s="3" t="n">
        <v>0.02</v>
      </c>
      <c r="G14" s="3">
        <f>E14/F14</f>
        <v/>
      </c>
      <c r="H14" s="3" t="n">
        <v>14</v>
      </c>
      <c r="I14" s="4" t="n">
        <v>8.3104</v>
      </c>
      <c r="J14" s="4">
        <f>I14/1.18</f>
        <v/>
      </c>
      <c r="K14" s="5" t="n">
        <v>0</v>
      </c>
      <c r="L14" s="5">
        <f>(K14)*F14</f>
        <v/>
      </c>
      <c r="M14" s="4">
        <f>J14-L14</f>
        <v/>
      </c>
      <c r="N14" s="3" t="n"/>
      <c r="O14" s="4">
        <f>M14-N14</f>
        <v/>
      </c>
      <c r="P14" s="6">
        <f>O14*1.18</f>
        <v/>
      </c>
    </row>
    <row r="15">
      <c r="A15" s="2" t="n">
        <v>2900125</v>
      </c>
      <c r="B15" s="2" t="inlineStr">
        <is>
          <t>SERVO 2T SUPREME(JFC)-300x40ML - POU</t>
        </is>
      </c>
      <c r="C15" s="3" t="inlineStr">
        <is>
          <t>CAR</t>
        </is>
      </c>
      <c r="D15" s="3" t="n"/>
      <c r="E15" s="3" t="n">
        <v>12</v>
      </c>
      <c r="F15" s="3" t="n">
        <v>0.04</v>
      </c>
      <c r="G15" s="3">
        <f>E15/F15</f>
        <v/>
      </c>
      <c r="H15" s="3" t="n">
        <v>25</v>
      </c>
      <c r="I15" s="4" t="n">
        <v>16.49</v>
      </c>
      <c r="J15" s="4">
        <f>I15/1.18</f>
        <v/>
      </c>
      <c r="K15" s="5" t="n">
        <v>0</v>
      </c>
      <c r="L15" s="5">
        <f>(K15)*F15</f>
        <v/>
      </c>
      <c r="M15" s="4">
        <f>J15-L15</f>
        <v/>
      </c>
      <c r="N15" s="3" t="n"/>
      <c r="O15" s="4">
        <f>M15-N15</f>
        <v/>
      </c>
      <c r="P15" s="6">
        <f>O15*1.18</f>
        <v/>
      </c>
    </row>
    <row r="16">
      <c r="A16" s="2" t="n">
        <v>2900145</v>
      </c>
      <c r="B16" s="2" t="inlineStr">
        <is>
          <t>SERVO 2T SUPREME (JFC) - 200X60ML - POU</t>
        </is>
      </c>
      <c r="C16" s="3" t="inlineStr">
        <is>
          <t>CAR</t>
        </is>
      </c>
      <c r="D16" s="3" t="n"/>
      <c r="E16" s="3" t="n">
        <v>12</v>
      </c>
      <c r="F16" s="3" t="n">
        <v>0.06</v>
      </c>
      <c r="G16" s="3">
        <f>E16/F16</f>
        <v/>
      </c>
      <c r="H16" s="3" t="n">
        <v>32</v>
      </c>
      <c r="I16" s="4" t="n">
        <v>24.2912</v>
      </c>
      <c r="J16" s="4">
        <f>I16/1.18</f>
        <v/>
      </c>
      <c r="K16" s="5" t="n">
        <v>0</v>
      </c>
      <c r="L16" s="5">
        <f>(K16)*F16</f>
        <v/>
      </c>
      <c r="M16" s="4">
        <f>J16-L16</f>
        <v/>
      </c>
      <c r="N16" s="3" t="n"/>
      <c r="O16" s="4">
        <f>M16-N16</f>
        <v/>
      </c>
      <c r="P16" s="6">
        <f>O16*1.18</f>
        <v/>
      </c>
    </row>
    <row r="17">
      <c r="A17" s="2" t="n">
        <v>2900165</v>
      </c>
      <c r="B17" s="2" t="inlineStr">
        <is>
          <t>SERVO 2T SUPREME-20X1/4 L</t>
        </is>
      </c>
      <c r="C17" s="3" t="inlineStr">
        <is>
          <t>CAR</t>
        </is>
      </c>
      <c r="D17" s="3" t="n"/>
      <c r="E17" s="3" t="n">
        <v>5</v>
      </c>
      <c r="F17" s="3" t="n">
        <v>0.25</v>
      </c>
      <c r="G17" s="3">
        <f>E17/F17</f>
        <v/>
      </c>
      <c r="H17" s="3" t="n">
        <v>144</v>
      </c>
      <c r="I17" s="4" t="n">
        <v>100.2672</v>
      </c>
      <c r="J17" s="4">
        <f>I17/1.18</f>
        <v/>
      </c>
      <c r="K17" s="5" t="n">
        <v>0</v>
      </c>
      <c r="L17" s="5">
        <f>(K17)*F17</f>
        <v/>
      </c>
      <c r="M17" s="4">
        <f>J17-L17</f>
        <v/>
      </c>
      <c r="N17" s="3" t="n"/>
      <c r="O17" s="4">
        <f>M17-N17</f>
        <v/>
      </c>
      <c r="P17" s="6">
        <f>O17*1.18</f>
        <v/>
      </c>
    </row>
    <row r="18">
      <c r="A18" s="2" t="n">
        <v>2900174</v>
      </c>
      <c r="B18" s="2" t="inlineStr">
        <is>
          <t>SERVO 2T SUPREME-40X1/2L</t>
        </is>
      </c>
      <c r="C18" s="3" t="inlineStr">
        <is>
          <t>CAR</t>
        </is>
      </c>
      <c r="D18" s="3" t="n"/>
      <c r="E18" s="3" t="n">
        <v>20</v>
      </c>
      <c r="F18" s="3" t="n">
        <v>0.5</v>
      </c>
      <c r="G18" s="3">
        <f>E18/F18</f>
        <v/>
      </c>
      <c r="H18" s="3" t="n">
        <v>237</v>
      </c>
      <c r="I18" s="4" t="n">
        <v>182.4189</v>
      </c>
      <c r="J18" s="4">
        <f>I18/1.18</f>
        <v/>
      </c>
      <c r="K18" s="5" t="n">
        <v>0</v>
      </c>
      <c r="L18" s="5">
        <f>(K18)*F18</f>
        <v/>
      </c>
      <c r="M18" s="4">
        <f>J18-L18</f>
        <v/>
      </c>
      <c r="N18" s="3" t="n"/>
      <c r="O18" s="4">
        <f>M18-N18</f>
        <v/>
      </c>
      <c r="P18" s="6">
        <f>O18*1.18</f>
        <v/>
      </c>
    </row>
    <row r="19">
      <c r="A19" s="2" t="n">
        <v>2900175</v>
      </c>
      <c r="B19" s="2" t="inlineStr">
        <is>
          <t>SERVO 2T SUPREME-20X1/2 L</t>
        </is>
      </c>
      <c r="C19" s="3" t="inlineStr">
        <is>
          <t>CAR</t>
        </is>
      </c>
      <c r="D19" s="3" t="n"/>
      <c r="E19" s="3" t="n">
        <v>10</v>
      </c>
      <c r="F19" s="3" t="n">
        <v>0.5</v>
      </c>
      <c r="G19" s="3">
        <f>E19/F19</f>
        <v/>
      </c>
      <c r="H19" s="3" t="n">
        <v>237</v>
      </c>
      <c r="I19" s="4" t="n">
        <v>182.4189</v>
      </c>
      <c r="J19" s="4">
        <f>I19/1.18</f>
        <v/>
      </c>
      <c r="K19" s="5" t="n">
        <v>0</v>
      </c>
      <c r="L19" s="5">
        <f>(K19)*F19</f>
        <v/>
      </c>
      <c r="M19" s="4">
        <f>J19-L19</f>
        <v/>
      </c>
      <c r="N19" s="3" t="n"/>
      <c r="O19" s="4">
        <f>M19-N19</f>
        <v/>
      </c>
      <c r="P19" s="6">
        <f>O19*1.18</f>
        <v/>
      </c>
    </row>
    <row r="20">
      <c r="A20" s="2" t="n">
        <v>2900184</v>
      </c>
      <c r="B20" s="2" t="inlineStr">
        <is>
          <t>SERVO 2T SUPREME-20 X 1 L</t>
        </is>
      </c>
      <c r="C20" s="3" t="inlineStr">
        <is>
          <t>CAR</t>
        </is>
      </c>
      <c r="D20" s="3" t="n"/>
      <c r="E20" s="3" t="n">
        <v>20</v>
      </c>
      <c r="F20" s="3" t="n">
        <v>1</v>
      </c>
      <c r="G20" s="3">
        <f>E20/F20</f>
        <v/>
      </c>
      <c r="H20" s="3" t="n">
        <v>446</v>
      </c>
      <c r="I20" s="4" t="n">
        <v>352.8306</v>
      </c>
      <c r="J20" s="4">
        <f>I20/1.18</f>
        <v/>
      </c>
      <c r="K20" s="5" t="n">
        <v>0</v>
      </c>
      <c r="L20" s="5">
        <f>(K20)*F20</f>
        <v/>
      </c>
      <c r="M20" s="4">
        <f>J20-L20</f>
        <v/>
      </c>
      <c r="N20" s="3" t="n"/>
      <c r="O20" s="4">
        <f>M20-N20</f>
        <v/>
      </c>
      <c r="P20" s="6">
        <f>O20*1.18</f>
        <v/>
      </c>
    </row>
    <row r="21">
      <c r="A21" s="2" t="n">
        <v>2900234</v>
      </c>
      <c r="B21" s="2" t="inlineStr">
        <is>
          <t>SERVO 2T SUPREME-4x5L - HDPE</t>
        </is>
      </c>
      <c r="C21" s="3" t="inlineStr">
        <is>
          <t>CAR</t>
        </is>
      </c>
      <c r="D21" s="3" t="n"/>
      <c r="E21" s="3" t="n">
        <v>20</v>
      </c>
      <c r="F21" s="3" t="n">
        <v>5</v>
      </c>
      <c r="G21" s="3">
        <f>E21/F21</f>
        <v/>
      </c>
      <c r="H21" s="3" t="n">
        <v>2252</v>
      </c>
      <c r="I21" s="4" t="n">
        <v>1752.7316</v>
      </c>
      <c r="J21" s="4">
        <f>I21/1.18</f>
        <v/>
      </c>
      <c r="K21" s="5" t="n">
        <v>0</v>
      </c>
      <c r="L21" s="5">
        <f>(K21)*F21</f>
        <v/>
      </c>
      <c r="M21" s="4">
        <f>J21-L21</f>
        <v/>
      </c>
      <c r="N21" s="3" t="n"/>
      <c r="O21" s="4">
        <f>M21-N21</f>
        <v/>
      </c>
      <c r="P21" s="6">
        <f>O21*1.18</f>
        <v/>
      </c>
    </row>
    <row r="22">
      <c r="A22" s="2" t="n">
        <v>2909165</v>
      </c>
      <c r="B22" s="2" t="inlineStr">
        <is>
          <t>SERVO BRAKE FLUID SUPER HD - 20X1/4L-HDP</t>
        </is>
      </c>
      <c r="C22" s="3" t="inlineStr">
        <is>
          <t>CAR</t>
        </is>
      </c>
      <c r="D22" s="3" t="n"/>
      <c r="E22" s="3" t="n">
        <v>5</v>
      </c>
      <c r="F22" s="3" t="n">
        <v>0.25</v>
      </c>
      <c r="G22" s="3">
        <f>E22/F22</f>
        <v/>
      </c>
      <c r="H22" s="3" t="n">
        <v>121.5</v>
      </c>
      <c r="I22" s="4" t="n">
        <v>99.75149999999999</v>
      </c>
      <c r="J22" s="4">
        <f>I22/1.18</f>
        <v/>
      </c>
      <c r="K22" s="5" t="n">
        <v>0</v>
      </c>
      <c r="L22" s="5">
        <f>(K22)*F22</f>
        <v/>
      </c>
      <c r="M22" s="4">
        <f>J22-L22</f>
        <v/>
      </c>
      <c r="N22" s="3" t="n"/>
      <c r="O22" s="4">
        <f>M22-N22</f>
        <v/>
      </c>
      <c r="P22" s="6">
        <f>O22*1.18</f>
        <v/>
      </c>
    </row>
    <row r="23">
      <c r="A23" s="2" t="n">
        <v>2909175</v>
      </c>
      <c r="B23" s="2" t="inlineStr">
        <is>
          <t>SERVO BRAKE FLUID SUPER HD -20X1/2L-HDPE</t>
        </is>
      </c>
      <c r="C23" s="3" t="inlineStr">
        <is>
          <t>CAR</t>
        </is>
      </c>
      <c r="D23" s="3" t="n"/>
      <c r="E23" s="3" t="n">
        <v>10</v>
      </c>
      <c r="F23" s="3" t="n">
        <v>0.5</v>
      </c>
      <c r="G23" s="3">
        <f>E23/F23</f>
        <v/>
      </c>
      <c r="H23" s="3" t="n">
        <v>235</v>
      </c>
      <c r="I23" s="4" t="n">
        <v>193.6635</v>
      </c>
      <c r="J23" s="4">
        <f>I23/1.18</f>
        <v/>
      </c>
      <c r="K23" s="5" t="n">
        <v>0</v>
      </c>
      <c r="L23" s="5">
        <f>(K23)*F23</f>
        <v/>
      </c>
      <c r="M23" s="4">
        <f>J23-L23</f>
        <v/>
      </c>
      <c r="N23" s="3" t="n"/>
      <c r="O23" s="4">
        <f>M23-N23</f>
        <v/>
      </c>
      <c r="P23" s="6">
        <f>O23*1.18</f>
        <v/>
      </c>
    </row>
    <row r="24">
      <c r="A24" s="2" t="n">
        <v>2914165</v>
      </c>
      <c r="B24" s="2" t="inlineStr">
        <is>
          <t>SERVO BRAKE FLUID DOT 4-20 X 1/4 L</t>
        </is>
      </c>
      <c r="C24" s="3" t="inlineStr">
        <is>
          <t>CAR</t>
        </is>
      </c>
      <c r="D24" s="3" t="n"/>
      <c r="E24" s="3" t="n">
        <v>5</v>
      </c>
      <c r="F24" s="3" t="n">
        <v>0.25</v>
      </c>
      <c r="G24" s="3">
        <f>E24/F24</f>
        <v/>
      </c>
      <c r="H24" s="3" t="n">
        <v>170.5</v>
      </c>
      <c r="I24" s="4" t="n">
        <v>124.65255</v>
      </c>
      <c r="J24" s="4">
        <f>I24/1.18</f>
        <v/>
      </c>
      <c r="K24" s="5" t="n">
        <v>0</v>
      </c>
      <c r="L24" s="5">
        <f>(K24)*F24</f>
        <v/>
      </c>
      <c r="M24" s="4">
        <f>J24-L24</f>
        <v/>
      </c>
      <c r="N24" s="3" t="n"/>
      <c r="O24" s="4">
        <f>M24-N24</f>
        <v/>
      </c>
      <c r="P24" s="6">
        <f>O24*1.18</f>
        <v/>
      </c>
    </row>
    <row r="25">
      <c r="A25" s="2" t="n">
        <v>2914175</v>
      </c>
      <c r="B25" s="2" t="inlineStr">
        <is>
          <t>SERVO BRAKE FLUID DOT 4-20 X 1/2 L</t>
        </is>
      </c>
      <c r="C25" s="3" t="inlineStr">
        <is>
          <t>CAR</t>
        </is>
      </c>
      <c r="D25" s="3" t="n"/>
      <c r="E25" s="3" t="n">
        <v>10</v>
      </c>
      <c r="F25" s="3" t="n">
        <v>0.5</v>
      </c>
      <c r="G25" s="3">
        <f>E25/F25</f>
        <v/>
      </c>
      <c r="H25" s="3" t="n">
        <v>325</v>
      </c>
      <c r="I25" s="4" t="n">
        <v>239.8825</v>
      </c>
      <c r="J25" s="4">
        <f>I25/1.18</f>
        <v/>
      </c>
      <c r="K25" s="5" t="n">
        <v>0</v>
      </c>
      <c r="L25" s="5">
        <f>(K25)*F25</f>
        <v/>
      </c>
      <c r="M25" s="4">
        <f>J25-L25</f>
        <v/>
      </c>
      <c r="N25" s="3" t="n"/>
      <c r="O25" s="4">
        <f>M25-N25</f>
        <v/>
      </c>
      <c r="P25" s="6">
        <f>O25*1.18</f>
        <v/>
      </c>
    </row>
    <row r="26">
      <c r="A26" s="2" t="n">
        <v>2924229</v>
      </c>
      <c r="B26" s="2" t="inlineStr">
        <is>
          <t>SERVO 4T - 20 X 1 L HDPE PROMO</t>
        </is>
      </c>
      <c r="C26" s="3" t="inlineStr">
        <is>
          <t>CAR</t>
        </is>
      </c>
      <c r="D26" s="3" t="n"/>
      <c r="E26" s="3" t="n">
        <v>20</v>
      </c>
      <c r="F26" s="3" t="n">
        <v>1</v>
      </c>
      <c r="G26" s="3">
        <f>E26/F26</f>
        <v/>
      </c>
      <c r="H26" s="3" t="n">
        <v>518</v>
      </c>
      <c r="I26" s="4" t="n">
        <v>364.2058</v>
      </c>
      <c r="J26" s="4">
        <f>I26/1.18</f>
        <v/>
      </c>
      <c r="K26" s="5" t="n">
        <v>55</v>
      </c>
      <c r="L26" s="5">
        <f>(K26)*F26</f>
        <v/>
      </c>
      <c r="M26" s="4">
        <f>J26-L26</f>
        <v/>
      </c>
      <c r="N26" s="3" t="n"/>
      <c r="O26" s="4">
        <f>M26-N26</f>
        <v/>
      </c>
      <c r="P26" s="6">
        <f>O26*1.18</f>
        <v/>
      </c>
    </row>
    <row r="27">
      <c r="A27" s="2" t="n">
        <v>2924230</v>
      </c>
      <c r="B27" s="2" t="inlineStr">
        <is>
          <t>SERVO 4T - 20 X 0.9 L HDPE PROMO</t>
        </is>
      </c>
      <c r="C27" s="3" t="inlineStr">
        <is>
          <t>CAR</t>
        </is>
      </c>
      <c r="D27" s="3" t="n"/>
      <c r="E27" s="3" t="n">
        <v>18</v>
      </c>
      <c r="F27" s="3" t="n">
        <v>0.9</v>
      </c>
      <c r="G27" s="3">
        <f>E27/F27</f>
        <v/>
      </c>
      <c r="H27" s="3" t="n">
        <v>479</v>
      </c>
      <c r="I27" s="4" t="n">
        <v>334.6773000000001</v>
      </c>
      <c r="J27" s="4">
        <f>I27/1.18</f>
        <v/>
      </c>
      <c r="K27" s="5" t="n">
        <v>55</v>
      </c>
      <c r="L27" s="5">
        <f>(K27)*F27</f>
        <v/>
      </c>
      <c r="M27" s="4">
        <f>J27-L27</f>
        <v/>
      </c>
      <c r="N27" s="3" t="n"/>
      <c r="O27" s="4">
        <f>M27-N27</f>
        <v/>
      </c>
      <c r="P27" s="6">
        <f>O27*1.18</f>
        <v/>
      </c>
    </row>
    <row r="28">
      <c r="A28" s="2" t="n">
        <v>2927152</v>
      </c>
      <c r="B28" s="2" t="inlineStr">
        <is>
          <t>SERVO HONDA JOSH-20 X 0.9 L</t>
        </is>
      </c>
      <c r="C28" s="3" t="inlineStr">
        <is>
          <t>CAR</t>
        </is>
      </c>
      <c r="D28" s="3" t="n"/>
      <c r="E28" s="3" t="n">
        <v>18</v>
      </c>
      <c r="F28" s="3" t="n">
        <v>0.9</v>
      </c>
      <c r="G28" s="3">
        <f>E28/F28</f>
        <v/>
      </c>
      <c r="H28" s="3" t="n">
        <v>515</v>
      </c>
      <c r="I28" s="4" t="n">
        <v>405.9229999999999</v>
      </c>
      <c r="J28" s="4">
        <f>I28/1.18</f>
        <v/>
      </c>
      <c r="K28" s="5" t="n">
        <v>25</v>
      </c>
      <c r="L28" s="5">
        <f>(K28)*F28</f>
        <v/>
      </c>
      <c r="M28" s="4">
        <f>J28-L28</f>
        <v/>
      </c>
      <c r="N28" s="3" t="n"/>
      <c r="O28" s="4">
        <f>M28-N28</f>
        <v/>
      </c>
      <c r="P28" s="6">
        <f>O28*1.18</f>
        <v/>
      </c>
    </row>
    <row r="29">
      <c r="A29" s="2" t="n">
        <v>2927184</v>
      </c>
      <c r="B29" s="2" t="inlineStr">
        <is>
          <t>SERVO HONDA JOSH-20 X 1 L</t>
        </is>
      </c>
      <c r="C29" s="3" t="inlineStr">
        <is>
          <t>CAR</t>
        </is>
      </c>
      <c r="D29" s="3" t="n"/>
      <c r="E29" s="3" t="n">
        <v>20</v>
      </c>
      <c r="F29" s="3" t="n">
        <v>1</v>
      </c>
      <c r="G29" s="3">
        <f>E29/F29</f>
        <v/>
      </c>
      <c r="H29" s="3" t="n">
        <v>570</v>
      </c>
      <c r="I29" s="4" t="n">
        <v>450.984</v>
      </c>
      <c r="J29" s="4">
        <f>I29/1.18</f>
        <v/>
      </c>
      <c r="K29" s="5" t="n">
        <v>25</v>
      </c>
      <c r="L29" s="5">
        <f>(K29)*F29</f>
        <v/>
      </c>
      <c r="M29" s="4">
        <f>J29-L29</f>
        <v/>
      </c>
      <c r="N29" s="3" t="n"/>
      <c r="O29" s="4">
        <f>M29-N29</f>
        <v/>
      </c>
      <c r="P29" s="6">
        <f>O29*1.18</f>
        <v/>
      </c>
    </row>
    <row r="30">
      <c r="A30" s="2" t="n">
        <v>2931225</v>
      </c>
      <c r="B30" s="2" t="inlineStr">
        <is>
          <t>SERVO 4T 20W-50-20 X 1.2 L</t>
        </is>
      </c>
      <c r="C30" s="3" t="inlineStr">
        <is>
          <t>CAR</t>
        </is>
      </c>
      <c r="D30" s="3" t="n"/>
      <c r="E30" s="3" t="n">
        <v>24</v>
      </c>
      <c r="F30" s="3" t="n">
        <v>1.2</v>
      </c>
      <c r="G30" s="3">
        <f>E30/F30</f>
        <v/>
      </c>
      <c r="H30" s="3" t="n">
        <v>731</v>
      </c>
      <c r="I30" s="4" t="n">
        <v>469.5213000000001</v>
      </c>
      <c r="J30" s="4">
        <f>I30/1.18</f>
        <v/>
      </c>
      <c r="K30" s="5" t="n">
        <v>55</v>
      </c>
      <c r="L30" s="5">
        <f>(K30)*F30</f>
        <v/>
      </c>
      <c r="M30" s="4">
        <f>J30-L30</f>
        <v/>
      </c>
      <c r="N30" s="3" t="n"/>
      <c r="O30" s="4">
        <f>M30-N30</f>
        <v/>
      </c>
      <c r="P30" s="6">
        <f>O30*1.18</f>
        <v/>
      </c>
    </row>
    <row r="31">
      <c r="A31" s="2" t="n">
        <v>2931229</v>
      </c>
      <c r="B31" s="2" t="inlineStr">
        <is>
          <t>SERVO 4T 20W-50-20 X 1 L PROMO</t>
        </is>
      </c>
      <c r="C31" s="3" t="inlineStr">
        <is>
          <t>CAR</t>
        </is>
      </c>
      <c r="D31" s="3" t="n"/>
      <c r="E31" s="3" t="n">
        <v>20</v>
      </c>
      <c r="F31" s="3" t="n">
        <v>1</v>
      </c>
      <c r="G31" s="3">
        <f>E31/F31</f>
        <v/>
      </c>
      <c r="H31" s="3" t="n">
        <v>579</v>
      </c>
      <c r="I31" s="4" t="n">
        <v>369.981</v>
      </c>
      <c r="J31" s="4">
        <f>I31/1.18</f>
        <v/>
      </c>
      <c r="K31" s="5" t="n">
        <v>55</v>
      </c>
      <c r="L31" s="5">
        <f>(K31)*F31</f>
        <v/>
      </c>
      <c r="M31" s="4">
        <f>J31-L31</f>
        <v/>
      </c>
      <c r="N31" s="3" t="n"/>
      <c r="O31" s="4">
        <f>M31-N31</f>
        <v/>
      </c>
      <c r="P31" s="6">
        <f>O31*1.18</f>
        <v/>
      </c>
    </row>
    <row r="32">
      <c r="A32" s="2" t="n">
        <v>2936230</v>
      </c>
      <c r="B32" s="2" t="inlineStr">
        <is>
          <t>SERVO 4T ZOOM 10W-30-20X0.9 L HDPE PROMO</t>
        </is>
      </c>
      <c r="C32" s="3" t="inlineStr">
        <is>
          <t>CAR</t>
        </is>
      </c>
      <c r="D32" s="3" t="n"/>
      <c r="E32" s="3" t="n">
        <v>18</v>
      </c>
      <c r="F32" s="3" t="n">
        <v>0.9</v>
      </c>
      <c r="G32" s="3">
        <f>E32/F32</f>
        <v/>
      </c>
      <c r="H32" s="3" t="n">
        <v>432</v>
      </c>
      <c r="I32" s="4" t="n">
        <v>297.5184</v>
      </c>
      <c r="J32" s="4">
        <f>I32/1.18</f>
        <v/>
      </c>
      <c r="K32" s="5" t="n">
        <v>40</v>
      </c>
      <c r="L32" s="5">
        <f>(K32)*F32</f>
        <v/>
      </c>
      <c r="M32" s="4">
        <f>J32-L32</f>
        <v/>
      </c>
      <c r="N32" s="3" t="n"/>
      <c r="O32" s="4">
        <f>M32-N32</f>
        <v/>
      </c>
      <c r="P32" s="6">
        <f>O32*1.18</f>
        <v/>
      </c>
    </row>
    <row r="33">
      <c r="A33" s="2" t="n">
        <v>2941184</v>
      </c>
      <c r="B33" s="2" t="inlineStr">
        <is>
          <t>SERVO OBM 2T OIL - 20 X 1 L HDPE</t>
        </is>
      </c>
      <c r="C33" s="3" t="inlineStr">
        <is>
          <t>CAR</t>
        </is>
      </c>
      <c r="D33" s="3" t="n"/>
      <c r="E33" s="3" t="n">
        <v>20</v>
      </c>
      <c r="F33" s="3" t="n">
        <v>1</v>
      </c>
      <c r="G33" s="3">
        <f>E33/F33</f>
        <v/>
      </c>
      <c r="H33" s="3" t="n">
        <v>444</v>
      </c>
      <c r="I33" s="4" t="n">
        <v>346.8972</v>
      </c>
      <c r="J33" s="4">
        <f>I33/1.18</f>
        <v/>
      </c>
      <c r="K33" s="5" t="n">
        <v>30</v>
      </c>
      <c r="L33" s="5">
        <f>(K33)*F33</f>
        <v/>
      </c>
      <c r="M33" s="4">
        <f>J33-L33</f>
        <v/>
      </c>
      <c r="N33" s="3" t="n"/>
      <c r="O33" s="4">
        <f>M33-N33</f>
        <v/>
      </c>
      <c r="P33" s="6">
        <f>O33*1.18</f>
        <v/>
      </c>
    </row>
    <row r="34">
      <c r="A34" s="2" t="n">
        <v>2941234</v>
      </c>
      <c r="B34" s="2" t="inlineStr">
        <is>
          <t>SERVO OBM 2T OIL - 4 X 5 L HDPE</t>
        </is>
      </c>
      <c r="C34" s="3" t="inlineStr">
        <is>
          <t>CAR</t>
        </is>
      </c>
      <c r="D34" s="3" t="n"/>
      <c r="E34" s="3" t="n">
        <v>20</v>
      </c>
      <c r="F34" s="3" t="n">
        <v>5</v>
      </c>
      <c r="G34" s="3">
        <f>E34/F34</f>
        <v/>
      </c>
      <c r="H34" s="3" t="n">
        <v>2238</v>
      </c>
      <c r="I34" s="4" t="n">
        <v>1716.7698</v>
      </c>
      <c r="J34" s="4">
        <f>I34/1.18</f>
        <v/>
      </c>
      <c r="K34" s="5" t="n">
        <v>30</v>
      </c>
      <c r="L34" s="5">
        <f>(K34)*F34</f>
        <v/>
      </c>
      <c r="M34" s="4">
        <f>J34-L34</f>
        <v/>
      </c>
      <c r="N34" s="3" t="n"/>
      <c r="O34" s="4">
        <f>M34-N34</f>
        <v/>
      </c>
      <c r="P34" s="6">
        <f>O34*1.18</f>
        <v/>
      </c>
    </row>
    <row r="35">
      <c r="A35" s="2" t="n">
        <v>2941265</v>
      </c>
      <c r="B35" s="2" t="inlineStr">
        <is>
          <t>SERVO OBM 2T OIL - 20 L BUC</t>
        </is>
      </c>
      <c r="C35" s="3" t="inlineStr">
        <is>
          <t>BUC</t>
        </is>
      </c>
      <c r="D35" s="3" t="n"/>
      <c r="E35" s="3" t="n">
        <v>20</v>
      </c>
      <c r="F35" s="3" t="n">
        <v>20</v>
      </c>
      <c r="G35" s="3">
        <f>E35/F35</f>
        <v/>
      </c>
      <c r="H35" s="3" t="n">
        <v>8614</v>
      </c>
      <c r="I35" s="4" t="n">
        <v>6757.683000000001</v>
      </c>
      <c r="J35" s="4">
        <f>I35/1.18</f>
        <v/>
      </c>
      <c r="K35" s="5" t="n">
        <v>30</v>
      </c>
      <c r="L35" s="5">
        <f>(K35)*F35</f>
        <v/>
      </c>
      <c r="M35" s="4">
        <f>J35-L35</f>
        <v/>
      </c>
      <c r="N35" s="3" t="n"/>
      <c r="O35" s="4">
        <f>M35-N35</f>
        <v/>
      </c>
      <c r="P35" s="6">
        <f>O35*1.18</f>
        <v/>
      </c>
    </row>
    <row r="36">
      <c r="A36" s="2" t="n">
        <v>2960184</v>
      </c>
      <c r="B36" s="2" t="inlineStr">
        <is>
          <t>SERVO FUTURA SYNTH 0W-40-20 X 1 L</t>
        </is>
      </c>
      <c r="C36" s="3" t="inlineStr">
        <is>
          <t>CAR</t>
        </is>
      </c>
      <c r="D36" s="3" t="n"/>
      <c r="E36" s="3" t="n">
        <v>20</v>
      </c>
      <c r="F36" s="3" t="n">
        <v>1</v>
      </c>
      <c r="G36" s="3">
        <f>E36/F36</f>
        <v/>
      </c>
      <c r="H36" s="3" t="n">
        <v>1210</v>
      </c>
      <c r="I36" s="4" t="n">
        <v>804.7710000000001</v>
      </c>
      <c r="J36" s="4">
        <f>I36/1.18</f>
        <v/>
      </c>
      <c r="K36" s="5" t="n">
        <v>50</v>
      </c>
      <c r="L36" s="5">
        <f>(K36)*F36</f>
        <v/>
      </c>
      <c r="M36" s="4">
        <f>J36-L36</f>
        <v/>
      </c>
      <c r="N36" s="3" t="n"/>
      <c r="O36" s="4">
        <f>M36-N36</f>
        <v/>
      </c>
      <c r="P36" s="6">
        <f>O36*1.18</f>
        <v/>
      </c>
    </row>
    <row r="37">
      <c r="A37" s="2" t="n">
        <v>2960220</v>
      </c>
      <c r="B37" s="2" t="inlineStr">
        <is>
          <t>SERVO FUTURA SYNTH 0W-40-4 X 4 L PROMO</t>
        </is>
      </c>
      <c r="C37" s="3" t="inlineStr">
        <is>
          <t>CAR</t>
        </is>
      </c>
      <c r="D37" s="3" t="n"/>
      <c r="E37" s="3" t="n">
        <v>16</v>
      </c>
      <c r="F37" s="3" t="n">
        <v>4</v>
      </c>
      <c r="G37" s="3">
        <f>E37/F37</f>
        <v/>
      </c>
      <c r="H37" s="3" t="n">
        <v>4840</v>
      </c>
      <c r="I37" s="4" t="n">
        <v>3219.084</v>
      </c>
      <c r="J37" s="4">
        <f>I37/1.18</f>
        <v/>
      </c>
      <c r="K37" s="5" t="n">
        <v>50</v>
      </c>
      <c r="L37" s="5">
        <f>(K37)*F37</f>
        <v/>
      </c>
      <c r="M37" s="4">
        <f>J37-L37</f>
        <v/>
      </c>
      <c r="N37" s="3" t="n"/>
      <c r="O37" s="4">
        <f>M37-N37</f>
        <v/>
      </c>
      <c r="P37" s="6">
        <f>O37*1.18</f>
        <v/>
      </c>
    </row>
    <row r="38">
      <c r="A38" s="2" t="n">
        <v>2960222</v>
      </c>
      <c r="B38" s="2" t="inlineStr">
        <is>
          <t>SERVO FUTURA SYNTH 0W-40-4 x 4 L</t>
        </is>
      </c>
      <c r="C38" s="3" t="inlineStr">
        <is>
          <t>CAR</t>
        </is>
      </c>
      <c r="D38" s="3" t="n"/>
      <c r="E38" s="3" t="n">
        <v>16</v>
      </c>
      <c r="F38" s="3" t="n">
        <v>4</v>
      </c>
      <c r="G38" s="3">
        <f>E38/F38</f>
        <v/>
      </c>
      <c r="H38" s="3" t="n">
        <v>4840</v>
      </c>
      <c r="I38" s="4" t="n">
        <v>3219.084</v>
      </c>
      <c r="J38" s="4">
        <f>I38/1.18</f>
        <v/>
      </c>
      <c r="K38" s="5" t="n">
        <v>50</v>
      </c>
      <c r="L38" s="5">
        <f>(K38)*F38</f>
        <v/>
      </c>
      <c r="M38" s="4">
        <f>J38-L38</f>
        <v/>
      </c>
      <c r="N38" s="3" t="n"/>
      <c r="O38" s="4">
        <f>M38-N38</f>
        <v/>
      </c>
      <c r="P38" s="6">
        <f>O38*1.18</f>
        <v/>
      </c>
    </row>
    <row r="39">
      <c r="A39" s="2" t="n">
        <v>2964213</v>
      </c>
      <c r="B39" s="2" t="inlineStr">
        <is>
          <t>MGDO 5W-30-4 X 3.5 L</t>
        </is>
      </c>
      <c r="C39" s="3" t="inlineStr">
        <is>
          <t>CAR</t>
        </is>
      </c>
      <c r="D39" s="3" t="n"/>
      <c r="E39" s="3" t="n">
        <v>14</v>
      </c>
      <c r="F39" s="3" t="n">
        <v>3.5</v>
      </c>
      <c r="G39" s="3">
        <f>E39/F39</f>
        <v/>
      </c>
      <c r="H39" s="3" t="n">
        <v>1904</v>
      </c>
      <c r="I39" s="4" t="n">
        <v>1168.2944</v>
      </c>
      <c r="J39" s="4">
        <f>I39/1.18</f>
        <v/>
      </c>
      <c r="K39" s="5" t="n">
        <v>0</v>
      </c>
      <c r="L39" s="5">
        <f>(K39)*F39</f>
        <v/>
      </c>
      <c r="M39" s="4">
        <f>J39-L39</f>
        <v/>
      </c>
      <c r="N39" s="3" t="n"/>
      <c r="O39" s="4">
        <f>M39-N39</f>
        <v/>
      </c>
      <c r="P39" s="6">
        <f>O39*1.18</f>
        <v/>
      </c>
    </row>
    <row r="40">
      <c r="A40" s="2" t="n">
        <v>2967111</v>
      </c>
      <c r="B40" s="2" t="inlineStr">
        <is>
          <t>SERVO FUTURA G PLUS 5W-30-4X3.5 L PROMO</t>
        </is>
      </c>
      <c r="C40" s="3" t="inlineStr">
        <is>
          <t>CAR</t>
        </is>
      </c>
      <c r="D40" s="3" t="n"/>
      <c r="E40" s="3" t="n">
        <v>14</v>
      </c>
      <c r="F40" s="3" t="n">
        <v>3.5</v>
      </c>
      <c r="G40" s="3">
        <f>E40/F40</f>
        <v/>
      </c>
      <c r="H40" s="3" t="n">
        <v>2163</v>
      </c>
      <c r="I40" s="4" t="n">
        <v>1466.514</v>
      </c>
      <c r="J40" s="4">
        <f>I40/1.18</f>
        <v/>
      </c>
      <c r="K40" s="5" t="n">
        <v>45</v>
      </c>
      <c r="L40" s="5">
        <f>(K40)*F40</f>
        <v/>
      </c>
      <c r="M40" s="4">
        <f>J40-L40</f>
        <v/>
      </c>
      <c r="N40" s="3" t="n"/>
      <c r="O40" s="4">
        <f>M40-N40</f>
        <v/>
      </c>
      <c r="P40" s="6">
        <f>O40*1.18</f>
        <v/>
      </c>
    </row>
    <row r="41">
      <c r="A41" s="2" t="n">
        <v>2967184</v>
      </c>
      <c r="B41" s="2" t="inlineStr">
        <is>
          <t>SERVO FUTURA G PLUS 5W-30-20 X 1 L</t>
        </is>
      </c>
      <c r="C41" s="3" t="inlineStr">
        <is>
          <t>CAR</t>
        </is>
      </c>
      <c r="D41" s="3" t="n"/>
      <c r="E41" s="3" t="n">
        <v>20</v>
      </c>
      <c r="F41" s="3" t="n">
        <v>1</v>
      </c>
      <c r="G41" s="3">
        <f>E41/F41</f>
        <v/>
      </c>
      <c r="H41" s="3" t="n">
        <v>632</v>
      </c>
      <c r="I41" s="4" t="n">
        <v>428.812</v>
      </c>
      <c r="J41" s="4">
        <f>I41/1.18</f>
        <v/>
      </c>
      <c r="K41" s="5" t="n">
        <v>45</v>
      </c>
      <c r="L41" s="5">
        <f>(K41)*F41</f>
        <v/>
      </c>
      <c r="M41" s="4">
        <f>J41-L41</f>
        <v/>
      </c>
      <c r="N41" s="3" t="n"/>
      <c r="O41" s="4">
        <f>M41-N41</f>
        <v/>
      </c>
      <c r="P41" s="6">
        <f>O41*1.18</f>
        <v/>
      </c>
    </row>
    <row r="42">
      <c r="A42" s="2" t="n">
        <v>2967204</v>
      </c>
      <c r="B42" s="2" t="inlineStr">
        <is>
          <t>SERVO FUTURA G PLUS 5W-30-4 X 3 L PROMO</t>
        </is>
      </c>
      <c r="C42" s="3" t="inlineStr">
        <is>
          <t>CAR</t>
        </is>
      </c>
      <c r="D42" s="3" t="n"/>
      <c r="E42" s="3" t="n">
        <v>12</v>
      </c>
      <c r="F42" s="3" t="n">
        <v>3</v>
      </c>
      <c r="G42" s="3">
        <f>E42/F42</f>
        <v/>
      </c>
      <c r="H42" s="3" t="n">
        <v>1856</v>
      </c>
      <c r="I42" s="4" t="n">
        <v>1259.1104</v>
      </c>
      <c r="J42" s="4">
        <f>I42/1.18</f>
        <v/>
      </c>
      <c r="K42" s="5" t="n">
        <v>45</v>
      </c>
      <c r="L42" s="5">
        <f>(K42)*F42</f>
        <v/>
      </c>
      <c r="M42" s="4">
        <f>J42-L42</f>
        <v/>
      </c>
      <c r="N42" s="3" t="n"/>
      <c r="O42" s="4">
        <f>M42-N42</f>
        <v/>
      </c>
      <c r="P42" s="6">
        <f>O42*1.18</f>
        <v/>
      </c>
    </row>
    <row r="43">
      <c r="A43" s="2" t="n">
        <v>2967220</v>
      </c>
      <c r="B43" s="2" t="inlineStr">
        <is>
          <t>SERVO FUTURA G PLUS 5W-30-4 X 4 L PROMO</t>
        </is>
      </c>
      <c r="C43" s="3" t="inlineStr">
        <is>
          <t>CAR</t>
        </is>
      </c>
      <c r="D43" s="3" t="n"/>
      <c r="E43" s="3" t="n">
        <v>16</v>
      </c>
      <c r="F43" s="3" t="n">
        <v>4</v>
      </c>
      <c r="G43" s="3">
        <f>E43/F43</f>
        <v/>
      </c>
      <c r="H43" s="3" t="n">
        <v>2468</v>
      </c>
      <c r="I43" s="4" t="n">
        <v>1673.7976</v>
      </c>
      <c r="J43" s="4">
        <f>I43/1.18</f>
        <v/>
      </c>
      <c r="K43" s="5" t="n">
        <v>45</v>
      </c>
      <c r="L43" s="5">
        <f>(K43)*F43</f>
        <v/>
      </c>
      <c r="M43" s="4">
        <f>J43-L43</f>
        <v/>
      </c>
      <c r="N43" s="3" t="n"/>
      <c r="O43" s="4">
        <f>M43-N43</f>
        <v/>
      </c>
      <c r="P43" s="6">
        <f>O43*1.18</f>
        <v/>
      </c>
    </row>
    <row r="44">
      <c r="A44" s="2" t="n">
        <v>2968213</v>
      </c>
      <c r="B44" s="2" t="inlineStr">
        <is>
          <t>HY.SERVO ENGINE OIL 5W-30-4x3.5L</t>
        </is>
      </c>
      <c r="C44" s="3" t="inlineStr">
        <is>
          <t>CAR</t>
        </is>
      </c>
      <c r="D44" s="3" t="n"/>
      <c r="E44" s="3" t="n">
        <v>14</v>
      </c>
      <c r="F44" s="3" t="n">
        <v>3.5</v>
      </c>
      <c r="G44" s="3">
        <f>E44/F44</f>
        <v/>
      </c>
      <c r="H44" s="3" t="n">
        <v>2090</v>
      </c>
      <c r="I44" s="4" t="n">
        <v>1425.171</v>
      </c>
      <c r="J44" s="4">
        <f>I44/1.18</f>
        <v/>
      </c>
      <c r="K44" s="5" t="n">
        <v>15</v>
      </c>
      <c r="L44" s="5">
        <f>(K44)*F44</f>
        <v/>
      </c>
      <c r="M44" s="4">
        <f>J44-L44</f>
        <v/>
      </c>
      <c r="N44" s="3" t="n"/>
      <c r="O44" s="4">
        <f>M44-N44</f>
        <v/>
      </c>
      <c r="P44" s="6">
        <f>O44*1.18</f>
        <v/>
      </c>
    </row>
    <row r="45">
      <c r="A45" s="2" t="n">
        <v>2971195</v>
      </c>
      <c r="B45" s="2" t="inlineStr">
        <is>
          <t>SERVO 4T HD-4 X 2.5 L</t>
        </is>
      </c>
      <c r="C45" s="3" t="inlineStr">
        <is>
          <t>CAR</t>
        </is>
      </c>
      <c r="D45" s="3" t="n"/>
      <c r="E45" s="3" t="n">
        <v>10</v>
      </c>
      <c r="F45" s="3" t="n">
        <v>2.5</v>
      </c>
      <c r="G45" s="3">
        <f>E45/F45</f>
        <v/>
      </c>
      <c r="H45" s="3" t="n">
        <v>1409</v>
      </c>
      <c r="I45" s="4" t="n">
        <v>1020.8205</v>
      </c>
      <c r="J45" s="4">
        <f>I45/1.18</f>
        <v/>
      </c>
      <c r="K45" s="5" t="n">
        <v>70</v>
      </c>
      <c r="L45" s="5">
        <f>(K45)*F45</f>
        <v/>
      </c>
      <c r="M45" s="4">
        <f>J45-L45</f>
        <v/>
      </c>
      <c r="N45" s="3" t="n"/>
      <c r="O45" s="4">
        <f>M45-N45</f>
        <v/>
      </c>
      <c r="P45" s="6">
        <f>O45*1.18</f>
        <v/>
      </c>
    </row>
    <row r="46">
      <c r="A46" s="2" t="n">
        <v>2971225</v>
      </c>
      <c r="B46" s="2" t="inlineStr">
        <is>
          <t>SERVO 4T HD-20 X 1.2 L</t>
        </is>
      </c>
      <c r="C46" s="3" t="inlineStr">
        <is>
          <t>CAR</t>
        </is>
      </c>
      <c r="D46" s="3" t="n"/>
      <c r="E46" s="3" t="n">
        <v>24</v>
      </c>
      <c r="F46" s="3" t="n">
        <v>1.2</v>
      </c>
      <c r="G46" s="3">
        <f>E46/F46</f>
        <v/>
      </c>
      <c r="H46" s="3" t="n">
        <v>712</v>
      </c>
      <c r="I46" s="4" t="n">
        <v>506.0184</v>
      </c>
      <c r="J46" s="4">
        <f>I46/1.18</f>
        <v/>
      </c>
      <c r="K46" s="5" t="n">
        <v>70</v>
      </c>
      <c r="L46" s="5">
        <f>(K46)*F46</f>
        <v/>
      </c>
      <c r="M46" s="4">
        <f>J46-L46</f>
        <v/>
      </c>
      <c r="N46" s="3" t="n"/>
      <c r="O46" s="4">
        <f>M46-N46</f>
        <v/>
      </c>
      <c r="P46" s="6">
        <f>O46*1.18</f>
        <v/>
      </c>
    </row>
    <row r="47">
      <c r="A47" s="2" t="n">
        <v>3001265</v>
      </c>
      <c r="B47" s="2" t="inlineStr">
        <is>
          <t>SERVOSYSTEM 32-20L BUC</t>
        </is>
      </c>
      <c r="C47" s="3" t="inlineStr">
        <is>
          <t>BUC</t>
        </is>
      </c>
      <c r="D47" s="3" t="n"/>
      <c r="E47" s="3" t="n">
        <v>20</v>
      </c>
      <c r="F47" s="3" t="n">
        <v>20</v>
      </c>
      <c r="G47" s="3">
        <f>E47/F47</f>
        <v/>
      </c>
      <c r="H47" s="3" t="n">
        <v>7603</v>
      </c>
      <c r="I47" s="4" t="n">
        <v>6839.6588</v>
      </c>
      <c r="J47" s="4">
        <f>I47/1.18</f>
        <v/>
      </c>
      <c r="K47" s="5" t="n">
        <v>83</v>
      </c>
      <c r="L47" s="5">
        <f>(K47)*F47</f>
        <v/>
      </c>
      <c r="M47" s="4">
        <f>J47-L47</f>
        <v/>
      </c>
      <c r="N47" s="3" t="n"/>
      <c r="O47" s="4">
        <f>M47-N47</f>
        <v/>
      </c>
      <c r="P47" s="6">
        <f>O47*1.18</f>
        <v/>
      </c>
    </row>
    <row r="48">
      <c r="A48" s="2" t="n">
        <v>3002265</v>
      </c>
      <c r="B48" s="2" t="inlineStr">
        <is>
          <t>SERVOSYSTEM 46 - 20L BUC</t>
        </is>
      </c>
      <c r="C48" s="3" t="inlineStr">
        <is>
          <t>BUC</t>
        </is>
      </c>
      <c r="D48" s="3" t="n"/>
      <c r="E48" s="3" t="n">
        <v>20</v>
      </c>
      <c r="F48" s="3" t="n">
        <v>20</v>
      </c>
      <c r="G48" s="3">
        <f>E48/F48</f>
        <v/>
      </c>
      <c r="H48" s="3" t="n">
        <v>7612</v>
      </c>
      <c r="I48" s="4" t="n">
        <v>6846.994000000001</v>
      </c>
      <c r="J48" s="4">
        <f>I48/1.18</f>
        <v/>
      </c>
      <c r="K48" s="5" t="n">
        <v>85</v>
      </c>
      <c r="L48" s="5">
        <f>(K48)*F48</f>
        <v/>
      </c>
      <c r="M48" s="4">
        <f>J48-L48</f>
        <v/>
      </c>
      <c r="N48" s="3" t="n"/>
      <c r="O48" s="4">
        <f>M48-N48</f>
        <v/>
      </c>
      <c r="P48" s="6">
        <f>O48*1.18</f>
        <v/>
      </c>
    </row>
    <row r="49">
      <c r="A49" s="2" t="n">
        <v>3006234</v>
      </c>
      <c r="B49" s="2" t="inlineStr">
        <is>
          <t>SERVOSYSTEM 68-4x5L - HDPE</t>
        </is>
      </c>
      <c r="C49" s="3" t="inlineStr">
        <is>
          <t>CAR</t>
        </is>
      </c>
      <c r="D49" s="3" t="n"/>
      <c r="E49" s="3" t="n">
        <v>20</v>
      </c>
      <c r="F49" s="3" t="n">
        <v>5</v>
      </c>
      <c r="G49" s="3">
        <f>E49/F49</f>
        <v/>
      </c>
      <c r="H49" s="3" t="n">
        <v>2013</v>
      </c>
      <c r="I49" s="4" t="n">
        <v>1807.4727</v>
      </c>
      <c r="J49" s="4">
        <f>I49/1.18</f>
        <v/>
      </c>
      <c r="K49" s="5" t="n">
        <v>98</v>
      </c>
      <c r="L49" s="5">
        <f>(K49)*F49</f>
        <v/>
      </c>
      <c r="M49" s="4">
        <f>J49-L49</f>
        <v/>
      </c>
      <c r="N49" s="3" t="n"/>
      <c r="O49" s="4">
        <f>M49-N49</f>
        <v/>
      </c>
      <c r="P49" s="6">
        <f>O49*1.18</f>
        <v/>
      </c>
    </row>
    <row r="50">
      <c r="A50" s="2" t="n">
        <v>3006265</v>
      </c>
      <c r="B50" s="2" t="inlineStr">
        <is>
          <t>SERVOSYSTEM 68-20L BUC</t>
        </is>
      </c>
      <c r="C50" s="3" t="inlineStr">
        <is>
          <t>BUC</t>
        </is>
      </c>
      <c r="D50" s="3" t="n"/>
      <c r="E50" s="3" t="n">
        <v>20</v>
      </c>
      <c r="F50" s="3" t="n">
        <v>20</v>
      </c>
      <c r="G50" s="3">
        <f>E50/F50</f>
        <v/>
      </c>
      <c r="H50" s="3" t="n">
        <v>7790</v>
      </c>
      <c r="I50" s="4" t="n">
        <v>7000.873000000001</v>
      </c>
      <c r="J50" s="4">
        <f>I50/1.18</f>
        <v/>
      </c>
      <c r="K50" s="5" t="n">
        <v>98</v>
      </c>
      <c r="L50" s="5">
        <f>(K50)*F50</f>
        <v/>
      </c>
      <c r="M50" s="4">
        <f>J50-L50</f>
        <v/>
      </c>
      <c r="N50" s="3" t="n"/>
      <c r="O50" s="4">
        <f>M50-N50</f>
        <v/>
      </c>
      <c r="P50" s="6">
        <f>O50*1.18</f>
        <v/>
      </c>
    </row>
    <row r="51">
      <c r="A51" s="2" t="n">
        <v>3059265</v>
      </c>
      <c r="B51" s="2" t="inlineStr">
        <is>
          <t>SERVOHYDREX TH 46 PLUS-20 L</t>
        </is>
      </c>
      <c r="C51" s="3" t="inlineStr">
        <is>
          <t>BUC</t>
        </is>
      </c>
      <c r="D51" s="3" t="n"/>
      <c r="E51" s="3" t="n">
        <v>20</v>
      </c>
      <c r="F51" s="3" t="n">
        <v>20</v>
      </c>
      <c r="G51" s="3">
        <f>E51/F51</f>
        <v/>
      </c>
      <c r="H51" s="3" t="n">
        <v>10419</v>
      </c>
      <c r="I51" s="4" t="n">
        <v>8268.518399999999</v>
      </c>
      <c r="J51" s="4">
        <f>I51/1.18</f>
        <v/>
      </c>
      <c r="K51" s="5" t="n">
        <v>49</v>
      </c>
      <c r="L51" s="5">
        <f>(K51)*F51</f>
        <v/>
      </c>
      <c r="M51" s="4">
        <f>J51-L51</f>
        <v/>
      </c>
      <c r="N51" s="3" t="n"/>
      <c r="O51" s="4">
        <f>M51-N51</f>
        <v/>
      </c>
      <c r="P51" s="6">
        <f>O51*1.18</f>
        <v/>
      </c>
    </row>
    <row r="52">
      <c r="A52" s="2" t="n">
        <v>3064265</v>
      </c>
      <c r="B52" s="2" t="inlineStr">
        <is>
          <t>SERVOHYDREX TH 46-20L BUC</t>
        </is>
      </c>
      <c r="C52" s="3" t="inlineStr">
        <is>
          <t>BUC</t>
        </is>
      </c>
      <c r="D52" s="3" t="n"/>
      <c r="E52" s="3" t="n">
        <v>20</v>
      </c>
      <c r="F52" s="3" t="n">
        <v>20</v>
      </c>
      <c r="G52" s="3">
        <f>E52/F52</f>
        <v/>
      </c>
      <c r="H52" s="3" t="n">
        <v>8474</v>
      </c>
      <c r="I52" s="4" t="n">
        <v>7603.720200000001</v>
      </c>
      <c r="J52" s="4">
        <f>I52/1.18</f>
        <v/>
      </c>
      <c r="K52" s="5" t="n">
        <v>31</v>
      </c>
      <c r="L52" s="5">
        <f>(K52)*F52</f>
        <v/>
      </c>
      <c r="M52" s="4">
        <f>J52-L52</f>
        <v/>
      </c>
      <c r="N52" s="3" t="n"/>
      <c r="O52" s="4">
        <f>M52-N52</f>
        <v/>
      </c>
      <c r="P52" s="6">
        <f>O52*1.18</f>
        <v/>
      </c>
    </row>
    <row r="53">
      <c r="A53" s="2" t="n">
        <v>3614265</v>
      </c>
      <c r="B53" s="2" t="inlineStr">
        <is>
          <t>SERVOMESH SP 320-20 L</t>
        </is>
      </c>
      <c r="C53" s="3" t="inlineStr">
        <is>
          <t>BUC</t>
        </is>
      </c>
      <c r="D53" s="3" t="n"/>
      <c r="E53" s="3" t="n">
        <v>20</v>
      </c>
      <c r="F53" s="3" t="n">
        <v>20</v>
      </c>
      <c r="G53" s="3">
        <f>E53/F53</f>
        <v/>
      </c>
      <c r="H53" s="3" t="n">
        <v>8201</v>
      </c>
      <c r="I53" s="4" t="n">
        <v>7363.677900000001</v>
      </c>
      <c r="J53" s="4">
        <f>I53/1.18</f>
        <v/>
      </c>
      <c r="K53" s="5" t="n">
        <v>71</v>
      </c>
      <c r="L53" s="5">
        <f>(K53)*F53</f>
        <v/>
      </c>
      <c r="M53" s="4">
        <f>J53-L53</f>
        <v/>
      </c>
      <c r="N53" s="3" t="n"/>
      <c r="O53" s="4">
        <f>M53-N53</f>
        <v/>
      </c>
      <c r="P53" s="6">
        <f>O53*1.18</f>
        <v/>
      </c>
    </row>
    <row r="54">
      <c r="A54" s="2" t="n">
        <v>3617265</v>
      </c>
      <c r="B54" s="2" t="inlineStr">
        <is>
          <t>SERVOMESH SP 220-20 L</t>
        </is>
      </c>
      <c r="C54" s="3" t="inlineStr">
        <is>
          <t>BUC</t>
        </is>
      </c>
      <c r="D54" s="3" t="n"/>
      <c r="E54" s="3" t="n">
        <v>20</v>
      </c>
      <c r="F54" s="3" t="n">
        <v>20</v>
      </c>
      <c r="G54" s="3">
        <f>E54/F54</f>
        <v/>
      </c>
      <c r="H54" s="3" t="n">
        <v>7974</v>
      </c>
      <c r="I54" s="4" t="n">
        <v>7163.0442</v>
      </c>
      <c r="J54" s="4">
        <f>I54/1.18</f>
        <v/>
      </c>
      <c r="K54" s="5" t="n">
        <v>59</v>
      </c>
      <c r="L54" s="5">
        <f>(K54)*F54</f>
        <v/>
      </c>
      <c r="M54" s="4">
        <f>J54-L54</f>
        <v/>
      </c>
      <c r="N54" s="3" t="n"/>
      <c r="O54" s="4">
        <f>M54-N54</f>
        <v/>
      </c>
      <c r="P54" s="6">
        <f>O54*1.18</f>
        <v/>
      </c>
    </row>
    <row r="55">
      <c r="A55" s="2" t="n">
        <v>3723213</v>
      </c>
      <c r="B55" s="2" t="inlineStr">
        <is>
          <t>SERVO PUMP SET OIL 20W-40 - 4x3.5L</t>
        </is>
      </c>
      <c r="C55" s="3" t="inlineStr">
        <is>
          <t>CAR</t>
        </is>
      </c>
      <c r="D55" s="3" t="n"/>
      <c r="E55" s="3" t="n">
        <v>14</v>
      </c>
      <c r="F55" s="3" t="n">
        <v>3.5</v>
      </c>
      <c r="G55" s="3">
        <f>E55/F55</f>
        <v/>
      </c>
      <c r="H55" s="3" t="n">
        <v>1652</v>
      </c>
      <c r="I55" s="4" t="n">
        <v>1267.5796</v>
      </c>
      <c r="J55" s="4">
        <f>I55/1.18</f>
        <v/>
      </c>
      <c r="K55" s="5" t="n">
        <v>70</v>
      </c>
      <c r="L55" s="5">
        <f>(K55)*F55</f>
        <v/>
      </c>
      <c r="M55" s="4">
        <f>J55-L55</f>
        <v/>
      </c>
      <c r="N55" s="3" t="n"/>
      <c r="O55" s="4">
        <f>M55-N55</f>
        <v/>
      </c>
      <c r="P55" s="6">
        <f>O55*1.18</f>
        <v/>
      </c>
    </row>
    <row r="56">
      <c r="A56" s="2" t="n">
        <v>3725213</v>
      </c>
      <c r="B56" s="2" t="inlineStr">
        <is>
          <t>SERVO SUPER PUMP SO 40-4x3.5L HDPE</t>
        </is>
      </c>
      <c r="C56" s="3" t="inlineStr">
        <is>
          <t>CAR</t>
        </is>
      </c>
      <c r="D56" s="3" t="n"/>
      <c r="E56" s="3" t="n">
        <v>14</v>
      </c>
      <c r="F56" s="3" t="n">
        <v>3.5</v>
      </c>
      <c r="G56" s="3">
        <f>E56/F56</f>
        <v/>
      </c>
      <c r="H56" s="3" t="n">
        <v>1845</v>
      </c>
      <c r="I56" s="4" t="n">
        <v>1298.6955</v>
      </c>
      <c r="J56" s="4">
        <f>I56/1.18</f>
        <v/>
      </c>
      <c r="K56" s="5" t="n">
        <v>50</v>
      </c>
      <c r="L56" s="5">
        <f>(K56)*F56</f>
        <v/>
      </c>
      <c r="M56" s="4">
        <f>J56-L56</f>
        <v/>
      </c>
      <c r="N56" s="3" t="n"/>
      <c r="O56" s="4">
        <f>M56-N56</f>
        <v/>
      </c>
      <c r="P56" s="6">
        <f>O56*1.18</f>
        <v/>
      </c>
    </row>
    <row r="57">
      <c r="A57" s="2" t="n">
        <v>4501265</v>
      </c>
      <c r="B57" s="2" t="inlineStr">
        <is>
          <t>SERVOCUT S - 20L BUC</t>
        </is>
      </c>
      <c r="C57" s="3" t="inlineStr">
        <is>
          <t>BUC</t>
        </is>
      </c>
      <c r="D57" s="3" t="n"/>
      <c r="E57" s="3" t="n">
        <v>20</v>
      </c>
      <c r="F57" s="3" t="n">
        <v>20</v>
      </c>
      <c r="G57" s="3">
        <f>E57/F57</f>
        <v/>
      </c>
      <c r="H57" s="3" t="n">
        <v>7374</v>
      </c>
      <c r="I57" s="4" t="n">
        <v>6528.939600000001</v>
      </c>
      <c r="J57" s="4">
        <f>I57/1.18</f>
        <v/>
      </c>
      <c r="K57" s="5" t="n">
        <v>53</v>
      </c>
      <c r="L57" s="5">
        <f>(K57)*F57</f>
        <v/>
      </c>
      <c r="M57" s="4">
        <f>J57-L57</f>
        <v/>
      </c>
      <c r="N57" s="3" t="n"/>
      <c r="O57" s="4">
        <f>M57-N57</f>
        <v/>
      </c>
      <c r="P57" s="6">
        <f>O57*1.18</f>
        <v/>
      </c>
    </row>
    <row r="58">
      <c r="A58" s="2" t="n">
        <v>4906174</v>
      </c>
      <c r="B58" s="2" t="inlineStr">
        <is>
          <t>SERVO TRANSFLUID A-40 X 1/2 L</t>
        </is>
      </c>
      <c r="C58" s="3" t="inlineStr">
        <is>
          <t>CAR</t>
        </is>
      </c>
      <c r="D58" s="3" t="n"/>
      <c r="E58" s="3" t="n">
        <v>20</v>
      </c>
      <c r="F58" s="3" t="n">
        <v>0.5</v>
      </c>
      <c r="G58" s="3">
        <f>E58/F58</f>
        <v/>
      </c>
      <c r="H58" s="3" t="n">
        <v>276</v>
      </c>
      <c r="I58" s="4" t="n">
        <v>204.5712</v>
      </c>
      <c r="J58" s="4">
        <f>I58/1.18</f>
        <v/>
      </c>
      <c r="K58" s="5" t="n">
        <v>15</v>
      </c>
      <c r="L58" s="5">
        <f>(K58)*F58</f>
        <v/>
      </c>
      <c r="M58" s="4">
        <f>J58-L58</f>
        <v/>
      </c>
      <c r="N58" s="3" t="n"/>
      <c r="O58" s="4">
        <f>M58-N58</f>
        <v/>
      </c>
      <c r="P58" s="6">
        <f>O58*1.18</f>
        <v/>
      </c>
    </row>
    <row r="59">
      <c r="A59" s="2" t="n">
        <v>4906175</v>
      </c>
      <c r="B59" s="2" t="inlineStr">
        <is>
          <t>SERVO TRANSFLUID A-20X1/2 L</t>
        </is>
      </c>
      <c r="C59" s="3" t="inlineStr">
        <is>
          <t>CAR</t>
        </is>
      </c>
      <c r="D59" s="3" t="n"/>
      <c r="E59" s="3" t="n">
        <v>10</v>
      </c>
      <c r="F59" s="3" t="n">
        <v>0.5</v>
      </c>
      <c r="G59" s="3">
        <f>E59/F59</f>
        <v/>
      </c>
      <c r="H59" s="3" t="n">
        <v>276</v>
      </c>
      <c r="I59" s="4" t="n">
        <v>204.5712</v>
      </c>
      <c r="J59" s="4">
        <f>I59/1.18</f>
        <v/>
      </c>
      <c r="K59" s="5" t="n">
        <v>0</v>
      </c>
      <c r="L59" s="5">
        <f>(K59)*F59</f>
        <v/>
      </c>
      <c r="M59" s="4">
        <f>J59-L59</f>
        <v/>
      </c>
      <c r="N59" s="3" t="n"/>
      <c r="O59" s="4">
        <f>M59-N59</f>
        <v/>
      </c>
      <c r="P59" s="6">
        <f>O59*1.18</f>
        <v/>
      </c>
    </row>
    <row r="60">
      <c r="A60" s="2" t="n">
        <v>4906184</v>
      </c>
      <c r="B60" s="2" t="inlineStr">
        <is>
          <t>SERVO TRANSFLUID A-20X1L-HDPE</t>
        </is>
      </c>
      <c r="C60" s="3" t="inlineStr">
        <is>
          <t>CAR</t>
        </is>
      </c>
      <c r="D60" s="3" t="n"/>
      <c r="E60" s="3" t="n">
        <v>20</v>
      </c>
      <c r="F60" s="3" t="n">
        <v>1</v>
      </c>
      <c r="G60" s="3">
        <f>E60/F60</f>
        <v/>
      </c>
      <c r="H60" s="3" t="n">
        <v>511</v>
      </c>
      <c r="I60" s="4" t="n">
        <v>385.6006</v>
      </c>
      <c r="J60" s="4">
        <f>I60/1.18</f>
        <v/>
      </c>
      <c r="K60" s="5" t="n">
        <v>35</v>
      </c>
      <c r="L60" s="5">
        <f>(K60)*F60</f>
        <v/>
      </c>
      <c r="M60" s="4">
        <f>J60-L60</f>
        <v/>
      </c>
      <c r="N60" s="3" t="n"/>
      <c r="O60" s="4">
        <f>M60-N60</f>
        <v/>
      </c>
      <c r="P60" s="6">
        <f>O60*1.18</f>
        <v/>
      </c>
    </row>
    <row r="61">
      <c r="A61" s="2" t="n">
        <v>4906234</v>
      </c>
      <c r="B61" s="2" t="inlineStr">
        <is>
          <t>SERVO TRANSFLUID A-4X5L-HDPE</t>
        </is>
      </c>
      <c r="C61" s="3" t="inlineStr">
        <is>
          <t>CAR</t>
        </is>
      </c>
      <c r="D61" s="3" t="n"/>
      <c r="E61" s="3" t="n">
        <v>20</v>
      </c>
      <c r="F61" s="3" t="n">
        <v>5</v>
      </c>
      <c r="G61" s="3">
        <f>E61/F61</f>
        <v/>
      </c>
      <c r="H61" s="3" t="n">
        <v>2459</v>
      </c>
      <c r="I61" s="4" t="n">
        <v>1906.2168</v>
      </c>
      <c r="J61" s="4">
        <f>I61/1.18</f>
        <v/>
      </c>
      <c r="K61" s="5" t="n">
        <v>35</v>
      </c>
      <c r="L61" s="5">
        <f>(K61)*F61</f>
        <v/>
      </c>
      <c r="M61" s="4">
        <f>J61-L61</f>
        <v/>
      </c>
      <c r="N61" s="3" t="n"/>
      <c r="O61" s="4">
        <f>M61-N61</f>
        <v/>
      </c>
      <c r="P61" s="6">
        <f>O61*1.18</f>
        <v/>
      </c>
    </row>
    <row r="62">
      <c r="A62" s="2" t="n">
        <v>4906242</v>
      </c>
      <c r="B62" s="2" t="inlineStr">
        <is>
          <t>SERVO TRANSFLUID A-10 L</t>
        </is>
      </c>
      <c r="C62" s="3" t="inlineStr">
        <is>
          <t>BUC</t>
        </is>
      </c>
      <c r="D62" s="3" t="n"/>
      <c r="E62" s="3" t="n">
        <v>10</v>
      </c>
      <c r="F62" s="3" t="n">
        <v>10</v>
      </c>
      <c r="G62" s="3">
        <f>E62/F62</f>
        <v/>
      </c>
      <c r="H62" s="3" t="n">
        <v>4886</v>
      </c>
      <c r="I62" s="4" t="n">
        <v>3788.6044</v>
      </c>
      <c r="J62" s="4">
        <f>I62/1.18</f>
        <v/>
      </c>
      <c r="K62" s="5" t="n">
        <v>35</v>
      </c>
      <c r="L62" s="5">
        <f>(K62)*F62</f>
        <v/>
      </c>
      <c r="M62" s="4">
        <f>J62-L62</f>
        <v/>
      </c>
      <c r="N62" s="3" t="n"/>
      <c r="O62" s="4">
        <f>M62-N62</f>
        <v/>
      </c>
      <c r="P62" s="6">
        <f>O62*1.18</f>
        <v/>
      </c>
    </row>
    <row r="63">
      <c r="A63" s="2" t="n">
        <v>4950184</v>
      </c>
      <c r="B63" s="2" t="inlineStr">
        <is>
          <t>SERVO OIB OIL-20 X 1 L</t>
        </is>
      </c>
      <c r="C63" s="3" t="inlineStr">
        <is>
          <t>CAR</t>
        </is>
      </c>
      <c r="D63" s="3" t="n"/>
      <c r="E63" s="3" t="n">
        <v>20</v>
      </c>
      <c r="F63" s="3" t="n">
        <v>1</v>
      </c>
      <c r="G63" s="3">
        <f>E63/F63</f>
        <v/>
      </c>
      <c r="H63" s="3" t="n">
        <v>458</v>
      </c>
      <c r="I63" s="4" t="n">
        <v>352.889</v>
      </c>
      <c r="J63" s="4">
        <f>I63/1.18</f>
        <v/>
      </c>
      <c r="K63" s="5" t="n">
        <v>65</v>
      </c>
      <c r="L63" s="5">
        <f>(K63)*F63</f>
        <v/>
      </c>
      <c r="M63" s="4">
        <f>J63-L63</f>
        <v/>
      </c>
      <c r="N63" s="3" t="n"/>
      <c r="O63" s="4">
        <f>M63-N63</f>
        <v/>
      </c>
      <c r="P63" s="6">
        <f>O63*1.18</f>
        <v/>
      </c>
    </row>
    <row r="64">
      <c r="A64" s="2" t="n">
        <v>4950240</v>
      </c>
      <c r="B64" s="2" t="inlineStr">
        <is>
          <t>SERVO OIB OIL-4 X 5 L PROMO</t>
        </is>
      </c>
      <c r="C64" s="3" t="inlineStr">
        <is>
          <t>CAR</t>
        </is>
      </c>
      <c r="D64" s="3" t="n"/>
      <c r="E64" s="3" t="n">
        <v>20</v>
      </c>
      <c r="F64" s="3" t="n">
        <v>5</v>
      </c>
      <c r="G64" s="3">
        <f>E64/F64</f>
        <v/>
      </c>
      <c r="H64" s="3" t="n">
        <v>2286</v>
      </c>
      <c r="I64" s="4" t="n">
        <v>1758.6198</v>
      </c>
      <c r="J64" s="4">
        <f>I64/1.18</f>
        <v/>
      </c>
      <c r="K64" s="5" t="n">
        <v>65</v>
      </c>
      <c r="L64" s="5">
        <f>(K64)*F64</f>
        <v/>
      </c>
      <c r="M64" s="4">
        <f>J64-L64</f>
        <v/>
      </c>
      <c r="N64" s="3" t="n"/>
      <c r="O64" s="4">
        <f>M64-N64</f>
        <v/>
      </c>
      <c r="P64" s="6">
        <f>O64*1.18</f>
        <v/>
      </c>
    </row>
    <row r="65">
      <c r="A65" s="2" t="n">
        <v>4950269</v>
      </c>
      <c r="B65" s="2" t="inlineStr">
        <is>
          <t>SERVO OIB OIL -20L PROMO</t>
        </is>
      </c>
      <c r="C65" s="3" t="inlineStr">
        <is>
          <t>BUC</t>
        </is>
      </c>
      <c r="D65" s="3" t="n"/>
      <c r="E65" s="3" t="n">
        <v>20</v>
      </c>
      <c r="F65" s="3" t="n">
        <v>20</v>
      </c>
      <c r="G65" s="3">
        <f>E65/F65</f>
        <v/>
      </c>
      <c r="H65" s="3" t="n">
        <v>8785</v>
      </c>
      <c r="I65" s="4" t="n">
        <v>6887.440000000001</v>
      </c>
      <c r="J65" s="4">
        <f>I65/1.18</f>
        <v/>
      </c>
      <c r="K65" s="5" t="n">
        <v>65</v>
      </c>
      <c r="L65" s="5">
        <f>(K65)*F65</f>
        <v/>
      </c>
      <c r="M65" s="4">
        <f>J65-L65</f>
        <v/>
      </c>
      <c r="N65" s="3" t="n"/>
      <c r="O65" s="4">
        <f>M65-N65</f>
        <v/>
      </c>
      <c r="P65" s="6">
        <f>O65*1.18</f>
        <v/>
      </c>
    </row>
    <row r="66">
      <c r="A66" s="2" t="n">
        <v>5034184</v>
      </c>
      <c r="B66" s="2" t="inlineStr">
        <is>
          <t>SERVO GAS ENGINE OIL - 20x1L - HDPE</t>
        </is>
      </c>
      <c r="C66" s="3" t="inlineStr">
        <is>
          <t>CAR</t>
        </is>
      </c>
      <c r="D66" s="3" t="n"/>
      <c r="E66" s="3" t="n">
        <v>20</v>
      </c>
      <c r="F66" s="3" t="n">
        <v>1</v>
      </c>
      <c r="G66" s="3">
        <f>E66/F66</f>
        <v/>
      </c>
      <c r="H66" s="3" t="n">
        <v>508</v>
      </c>
      <c r="I66" s="4" t="n">
        <v>353.4156</v>
      </c>
      <c r="J66" s="4">
        <f>I66/1.18</f>
        <v/>
      </c>
      <c r="K66" s="5" t="n">
        <v>50</v>
      </c>
      <c r="L66" s="5">
        <f>(K66)*F66</f>
        <v/>
      </c>
      <c r="M66" s="4">
        <f>J66-L66</f>
        <v/>
      </c>
      <c r="N66" s="3" t="n"/>
      <c r="O66" s="4">
        <f>M66-N66</f>
        <v/>
      </c>
      <c r="P66" s="6">
        <f>O66*1.18</f>
        <v/>
      </c>
    </row>
    <row r="67">
      <c r="A67" s="2" t="n">
        <v>5034203</v>
      </c>
      <c r="B67" s="2" t="inlineStr">
        <is>
          <t>SERVO GAS ENGINE OIL-4X3L-HDPE</t>
        </is>
      </c>
      <c r="C67" s="3" t="inlineStr">
        <is>
          <t>CAR</t>
        </is>
      </c>
      <c r="D67" s="3" t="n"/>
      <c r="E67" s="3" t="n">
        <v>12</v>
      </c>
      <c r="F67" s="3" t="n">
        <v>3</v>
      </c>
      <c r="G67" s="3">
        <f>E67/F67</f>
        <v/>
      </c>
      <c r="H67" s="3" t="n">
        <v>1505</v>
      </c>
      <c r="I67" s="4" t="n">
        <v>1062.6805</v>
      </c>
      <c r="J67" s="4">
        <f>I67/1.18</f>
        <v/>
      </c>
      <c r="K67" s="5" t="n">
        <v>50</v>
      </c>
      <c r="L67" s="5">
        <f>(K67)*F67</f>
        <v/>
      </c>
      <c r="M67" s="4">
        <f>J67-L67</f>
        <v/>
      </c>
      <c r="N67" s="3" t="n"/>
      <c r="O67" s="4">
        <f>M67-N67</f>
        <v/>
      </c>
      <c r="P67" s="6">
        <f>O67*1.18</f>
        <v/>
      </c>
    </row>
    <row r="68">
      <c r="A68" s="2" t="n">
        <v>7205222</v>
      </c>
      <c r="B68" s="2" t="inlineStr">
        <is>
          <t>HYUNDAI SERVO SUPERIOR 0W30-4 X 4 L</t>
        </is>
      </c>
      <c r="C68" s="3" t="inlineStr">
        <is>
          <t>CAR</t>
        </is>
      </c>
      <c r="D68" s="3" t="n"/>
      <c r="E68" s="3" t="n">
        <v>16</v>
      </c>
      <c r="F68" s="3" t="n">
        <v>4</v>
      </c>
      <c r="G68" s="3">
        <f>E68/F68</f>
        <v/>
      </c>
      <c r="H68" s="3" t="n">
        <v>2632</v>
      </c>
      <c r="I68" s="4" t="n">
        <v>1947.4168</v>
      </c>
      <c r="J68" s="4">
        <f>I68/1.18</f>
        <v/>
      </c>
      <c r="K68" s="5" t="n">
        <v>15</v>
      </c>
      <c r="L68" s="5">
        <f>(K68)*F68</f>
        <v/>
      </c>
      <c r="M68" s="4">
        <f>J68-L68</f>
        <v/>
      </c>
      <c r="N68" s="3" t="n"/>
      <c r="O68" s="4">
        <f>M68-N68</f>
        <v/>
      </c>
      <c r="P68" s="6">
        <f>O68*1.18</f>
        <v/>
      </c>
    </row>
    <row r="69">
      <c r="A69" s="2" t="n">
        <v>7209213</v>
      </c>
      <c r="B69" s="2" t="inlineStr">
        <is>
          <t>HY SERVO SYNTH 0W-30 SP/C3-4 X 3.5 L</t>
        </is>
      </c>
      <c r="C69" s="3" t="inlineStr">
        <is>
          <t>CAR</t>
        </is>
      </c>
      <c r="D69" s="3" t="n"/>
      <c r="E69" s="3" t="n">
        <v>14</v>
      </c>
      <c r="F69" s="3" t="n">
        <v>3.5</v>
      </c>
      <c r="G69" s="3">
        <f>E69/F69</f>
        <v/>
      </c>
      <c r="H69" s="3" t="n">
        <v>4603</v>
      </c>
      <c r="I69" s="4" t="n">
        <v>3569.6265</v>
      </c>
      <c r="J69" s="4">
        <f>I69/1.18</f>
        <v/>
      </c>
      <c r="K69" s="5" t="n">
        <v>15</v>
      </c>
      <c r="L69" s="5">
        <f>(K69)*F69</f>
        <v/>
      </c>
      <c r="M69" s="4">
        <f>J69-L69</f>
        <v/>
      </c>
      <c r="N69" s="3" t="n"/>
      <c r="O69" s="4">
        <f>M69-N69</f>
        <v/>
      </c>
      <c r="P69" s="6">
        <f>O69*1.18</f>
        <v/>
      </c>
    </row>
    <row r="70">
      <c r="A70" s="2" t="n">
        <v>7211213</v>
      </c>
      <c r="B70" s="2" t="inlineStr">
        <is>
          <t>SERVO GREENMILE-4 X 3.5 L</t>
        </is>
      </c>
      <c r="C70" s="3" t="inlineStr">
        <is>
          <t>CAR</t>
        </is>
      </c>
      <c r="D70" s="3" t="n"/>
      <c r="E70" s="3" t="n">
        <v>14</v>
      </c>
      <c r="F70" s="3" t="n">
        <v>3.5</v>
      </c>
      <c r="G70" s="3">
        <f>E70/F70</f>
        <v/>
      </c>
      <c r="H70" s="3" t="n">
        <v>1786</v>
      </c>
      <c r="I70" s="4" t="n">
        <v>1445.767</v>
      </c>
      <c r="J70" s="4">
        <f>I70/1.18</f>
        <v/>
      </c>
      <c r="K70" s="5" t="n">
        <v>75</v>
      </c>
      <c r="L70" s="5">
        <f>(K70)*F70</f>
        <v/>
      </c>
      <c r="M70" s="4">
        <f>J70-L70</f>
        <v/>
      </c>
      <c r="N70" s="3" t="n"/>
      <c r="O70" s="4">
        <f>M70-N70</f>
        <v/>
      </c>
      <c r="P70" s="6">
        <f>O70*1.18</f>
        <v/>
      </c>
    </row>
    <row r="71">
      <c r="A71" s="2" t="n">
        <v>7227184</v>
      </c>
      <c r="B71" s="2" t="inlineStr">
        <is>
          <t>SERVO TRACTOR GREEN-20 X 1 L</t>
        </is>
      </c>
      <c r="C71" s="3" t="inlineStr">
        <is>
          <t>CAR</t>
        </is>
      </c>
      <c r="D71" s="3" t="n"/>
      <c r="E71" s="3" t="n">
        <v>20</v>
      </c>
      <c r="F71" s="3" t="n">
        <v>1</v>
      </c>
      <c r="G71" s="3">
        <f>E71/F71</f>
        <v/>
      </c>
      <c r="H71" s="3" t="n">
        <v>505</v>
      </c>
      <c r="I71" s="4" t="n">
        <v>371.175</v>
      </c>
      <c r="J71" s="4">
        <f>I71/1.18</f>
        <v/>
      </c>
      <c r="K71" s="5" t="n">
        <v>85</v>
      </c>
      <c r="L71" s="5">
        <f>(K71)*F71</f>
        <v/>
      </c>
      <c r="M71" s="4">
        <f>J71-L71</f>
        <v/>
      </c>
      <c r="N71" s="3" t="n"/>
      <c r="O71" s="4">
        <f>M71-N71</f>
        <v/>
      </c>
      <c r="P71" s="6">
        <f>O71*1.18</f>
        <v/>
      </c>
    </row>
    <row r="72">
      <c r="A72" s="2" t="n">
        <v>7227251</v>
      </c>
      <c r="B72" s="2" t="inlineStr">
        <is>
          <t>SERVO TRACTOR GREEN-7.5 L</t>
        </is>
      </c>
      <c r="C72" s="3" t="inlineStr">
        <is>
          <t>BUC</t>
        </is>
      </c>
      <c r="D72" s="3" t="n"/>
      <c r="E72" s="3" t="n">
        <v>7.5</v>
      </c>
      <c r="F72" s="3" t="n">
        <v>7.5</v>
      </c>
      <c r="G72" s="3">
        <f>E72/F72</f>
        <v/>
      </c>
      <c r="H72" s="3" t="n">
        <v>3788</v>
      </c>
      <c r="I72" s="4" t="n">
        <v>2786.074</v>
      </c>
      <c r="J72" s="4">
        <f>I72/1.18</f>
        <v/>
      </c>
      <c r="K72" s="5" t="n">
        <v>85</v>
      </c>
      <c r="L72" s="5">
        <f>(K72)*F72</f>
        <v/>
      </c>
      <c r="M72" s="4">
        <f>J72-L72</f>
        <v/>
      </c>
      <c r="N72" s="3" t="n"/>
      <c r="O72" s="4">
        <f>M72-N72</f>
        <v/>
      </c>
      <c r="P72" s="6">
        <f>O72*1.18</f>
        <v/>
      </c>
    </row>
    <row r="73">
      <c r="A73" s="2" t="n">
        <v>7227252</v>
      </c>
      <c r="B73" s="2" t="inlineStr">
        <is>
          <t>SERVO TRACTOR GREEN-8.5 L</t>
        </is>
      </c>
      <c r="C73" s="3" t="inlineStr">
        <is>
          <t>BUC</t>
        </is>
      </c>
      <c r="D73" s="3" t="n"/>
      <c r="E73" s="3" t="n">
        <v>8.5</v>
      </c>
      <c r="F73" s="3" t="n">
        <v>8.5</v>
      </c>
      <c r="G73" s="3">
        <f>E73/F73</f>
        <v/>
      </c>
      <c r="H73" s="3" t="n">
        <v>4273</v>
      </c>
      <c r="I73" s="4" t="n">
        <v>3144.928</v>
      </c>
      <c r="J73" s="4">
        <f>I73/1.18</f>
        <v/>
      </c>
      <c r="K73" s="5" t="n">
        <v>85</v>
      </c>
      <c r="L73" s="5">
        <f>(K73)*F73</f>
        <v/>
      </c>
      <c r="M73" s="4">
        <f>J73-L73</f>
        <v/>
      </c>
      <c r="N73" s="3" t="n"/>
      <c r="O73" s="4">
        <f>M73-N73</f>
        <v/>
      </c>
      <c r="P73" s="6">
        <f>O73*1.18</f>
        <v/>
      </c>
    </row>
    <row r="74">
      <c r="A74" s="2" t="n">
        <v>7231256</v>
      </c>
      <c r="B74" s="2" t="inlineStr">
        <is>
          <t>SERVO RAFTAAR-15 L</t>
        </is>
      </c>
      <c r="C74" s="3" t="inlineStr">
        <is>
          <t>BUC</t>
        </is>
      </c>
      <c r="D74" s="3" t="n"/>
      <c r="E74" s="3" t="n">
        <v>15</v>
      </c>
      <c r="F74" s="3" t="n">
        <v>15</v>
      </c>
      <c r="G74" s="3">
        <f>E74/F74</f>
        <v/>
      </c>
      <c r="H74" s="3" t="n">
        <v>6839</v>
      </c>
      <c r="I74" s="4" t="n">
        <v>5388.448100000001</v>
      </c>
      <c r="J74" s="4">
        <f>I74/1.18</f>
        <v/>
      </c>
      <c r="K74" s="5" t="n">
        <v>75</v>
      </c>
      <c r="L74" s="5">
        <f>(K74)*F74</f>
        <v/>
      </c>
      <c r="M74" s="4">
        <f>J74-L74</f>
        <v/>
      </c>
      <c r="N74" s="3" t="n"/>
      <c r="O74" s="4">
        <f>M74-N74</f>
        <v/>
      </c>
      <c r="P74" s="6">
        <f>O74*1.18</f>
        <v/>
      </c>
    </row>
    <row r="75">
      <c r="A75" s="2" t="n">
        <v>7232184</v>
      </c>
      <c r="B75" s="2" t="inlineStr">
        <is>
          <t>HYUNDAI SERVO COOLANT 50-20 X 1 L</t>
        </is>
      </c>
      <c r="C75" s="3" t="inlineStr">
        <is>
          <t>CAR</t>
        </is>
      </c>
      <c r="D75" s="3" t="n"/>
      <c r="E75" s="3" t="n">
        <v>20</v>
      </c>
      <c r="F75" s="3" t="n">
        <v>1</v>
      </c>
      <c r="G75" s="3">
        <f>E75/F75</f>
        <v/>
      </c>
      <c r="H75" s="3" t="n">
        <v>351</v>
      </c>
      <c r="I75" s="4" t="n">
        <v>297.6831</v>
      </c>
      <c r="J75" s="4">
        <f>I75/1.18</f>
        <v/>
      </c>
      <c r="K75" s="5" t="n">
        <v>15</v>
      </c>
      <c r="L75" s="5">
        <f>(K75)*F75</f>
        <v/>
      </c>
      <c r="M75" s="4">
        <f>J75-L75</f>
        <v/>
      </c>
      <c r="N75" s="3" t="n"/>
      <c r="O75" s="4">
        <f>M75-N75</f>
        <v/>
      </c>
      <c r="P75" s="6">
        <f>O75*1.18</f>
        <v/>
      </c>
    </row>
    <row r="76">
      <c r="A76" s="2" t="n">
        <v>7264222</v>
      </c>
      <c r="B76" s="2" t="inlineStr">
        <is>
          <t>SERVO MG HECTOR PETROL EO-4 X 4 L</t>
        </is>
      </c>
      <c r="C76" s="3" t="inlineStr">
        <is>
          <t>CAR</t>
        </is>
      </c>
      <c r="D76" s="3" t="n"/>
      <c r="E76" s="3" t="n">
        <v>16</v>
      </c>
      <c r="F76" s="3" t="n">
        <v>4</v>
      </c>
      <c r="G76" s="3">
        <f>E76/F76</f>
        <v/>
      </c>
      <c r="H76" s="3" t="n">
        <v>2036</v>
      </c>
      <c r="I76" s="4" t="n">
        <v>1675.628</v>
      </c>
      <c r="J76" s="4">
        <f>I76/1.18</f>
        <v/>
      </c>
      <c r="K76" s="5" t="n">
        <v>8</v>
      </c>
      <c r="L76" s="5">
        <f>(K76)*F76</f>
        <v/>
      </c>
      <c r="M76" s="4">
        <f>J76-L76</f>
        <v/>
      </c>
      <c r="N76" s="3" t="n"/>
      <c r="O76" s="4">
        <f>M76-N76</f>
        <v/>
      </c>
      <c r="P76" s="6">
        <f>O76*1.18</f>
        <v/>
      </c>
    </row>
    <row r="77">
      <c r="A77" s="2" t="n">
        <v>7267234</v>
      </c>
      <c r="B77" s="2" t="inlineStr">
        <is>
          <t>SERVO MG HECTOR DIESEL ENGINE OIL-4 X5 L</t>
        </is>
      </c>
      <c r="C77" s="3" t="inlineStr">
        <is>
          <t>CAR</t>
        </is>
      </c>
      <c r="D77" s="3" t="n"/>
      <c r="E77" s="3" t="n">
        <v>20</v>
      </c>
      <c r="F77" s="3" t="n">
        <v>5</v>
      </c>
      <c r="G77" s="3">
        <f>E77/F77</f>
        <v/>
      </c>
      <c r="H77" s="3" t="n">
        <v>5370</v>
      </c>
      <c r="I77" s="4" t="n">
        <v>4413.066000000001</v>
      </c>
      <c r="J77" s="4">
        <f>I77/1.18</f>
        <v/>
      </c>
      <c r="K77" s="5" t="n">
        <v>21</v>
      </c>
      <c r="L77" s="5">
        <f>(K77)*F77</f>
        <v/>
      </c>
      <c r="M77" s="4">
        <f>J77-L77</f>
        <v/>
      </c>
      <c r="N77" s="3" t="n"/>
      <c r="O77" s="4">
        <f>M77-N77</f>
        <v/>
      </c>
      <c r="P77" s="6">
        <f>O77*1.18</f>
        <v/>
      </c>
    </row>
    <row r="78">
      <c r="A78" s="2" t="n">
        <v>7271111</v>
      </c>
      <c r="B78" s="2" t="inlineStr">
        <is>
          <t>SERVO FUTURA NXT 0W-16-4X3.5 L PROMO</t>
        </is>
      </c>
      <c r="C78" s="3" t="inlineStr">
        <is>
          <t>CAR</t>
        </is>
      </c>
      <c r="D78" s="3" t="n"/>
      <c r="E78" s="3" t="n">
        <v>14</v>
      </c>
      <c r="F78" s="3" t="n">
        <v>3.5</v>
      </c>
      <c r="G78" s="3">
        <f>E78/F78</f>
        <v/>
      </c>
      <c r="H78" s="3" t="n">
        <v>2380</v>
      </c>
      <c r="I78" s="4" t="n">
        <v>1642.2</v>
      </c>
      <c r="J78" s="4">
        <f>I78/1.18</f>
        <v/>
      </c>
      <c r="K78" s="5" t="n">
        <v>0</v>
      </c>
      <c r="L78" s="5">
        <f>(K78)*F78</f>
        <v/>
      </c>
      <c r="M78" s="4">
        <f>J78-L78</f>
        <v/>
      </c>
      <c r="N78" s="3" t="n"/>
      <c r="O78" s="4">
        <f>M78-N78</f>
        <v/>
      </c>
      <c r="P78" s="6">
        <f>O78*1.18</f>
        <v/>
      </c>
    </row>
    <row r="79">
      <c r="A79" s="2" t="n">
        <v>7271229</v>
      </c>
      <c r="B79" s="2" t="inlineStr">
        <is>
          <t>SERVO FUTURA NXT 0W-16-20 X 1 L PROMO</t>
        </is>
      </c>
      <c r="C79" s="3" t="inlineStr">
        <is>
          <t>CAR</t>
        </is>
      </c>
      <c r="D79" s="3" t="n"/>
      <c r="E79" s="3" t="n">
        <v>20</v>
      </c>
      <c r="F79" s="3" t="n">
        <v>1</v>
      </c>
      <c r="G79" s="3">
        <f>E79/F79</f>
        <v/>
      </c>
      <c r="H79" s="3" t="n">
        <v>680</v>
      </c>
      <c r="I79" s="4" t="n">
        <v>469.2</v>
      </c>
      <c r="J79" s="4">
        <f>I79/1.18</f>
        <v/>
      </c>
      <c r="K79" s="5" t="n">
        <v>0</v>
      </c>
      <c r="L79" s="5">
        <f>(K79)*F79</f>
        <v/>
      </c>
      <c r="M79" s="4">
        <f>J79-L79</f>
        <v/>
      </c>
      <c r="N79" s="3" t="n"/>
      <c r="O79" s="4">
        <f>M79-N79</f>
        <v/>
      </c>
      <c r="P79" s="6">
        <f>O79*1.18</f>
        <v/>
      </c>
    </row>
    <row r="80">
      <c r="A80" s="2" t="n">
        <v>7272111</v>
      </c>
      <c r="B80" s="2" t="inlineStr">
        <is>
          <t>SERVO FUTURA NXT 0W-20-4X3.5 L PROMO</t>
        </is>
      </c>
      <c r="C80" s="3" t="inlineStr">
        <is>
          <t>CAR</t>
        </is>
      </c>
      <c r="D80" s="3" t="n"/>
      <c r="E80" s="3" t="n">
        <v>14</v>
      </c>
      <c r="F80" s="3" t="n">
        <v>3.5</v>
      </c>
      <c r="G80" s="3">
        <f>E80/F80</f>
        <v/>
      </c>
      <c r="H80" s="3" t="n">
        <v>2538</v>
      </c>
      <c r="I80" s="4" t="n">
        <v>1930.149</v>
      </c>
      <c r="J80" s="4">
        <f>I80/1.18</f>
        <v/>
      </c>
      <c r="K80" s="5" t="n">
        <v>0</v>
      </c>
      <c r="L80" s="5">
        <f>(K80)*F80</f>
        <v/>
      </c>
      <c r="M80" s="4">
        <f>J80-L80</f>
        <v/>
      </c>
      <c r="N80" s="3" t="n"/>
      <c r="O80" s="4">
        <f>M80-N80</f>
        <v/>
      </c>
      <c r="P80" s="6">
        <f>O80*1.18</f>
        <v/>
      </c>
    </row>
    <row r="81">
      <c r="A81" s="2" t="n">
        <v>7275111</v>
      </c>
      <c r="B81" s="2" t="inlineStr">
        <is>
          <t>SERVO BLACKBIRD X-4X3.5 L PROMO</t>
        </is>
      </c>
      <c r="C81" s="3" t="inlineStr">
        <is>
          <t>CAR</t>
        </is>
      </c>
      <c r="D81" s="3" t="n"/>
      <c r="E81" s="3" t="n">
        <v>14</v>
      </c>
      <c r="F81" s="3" t="n">
        <v>3.5</v>
      </c>
      <c r="G81" s="3">
        <f>E81/F81</f>
        <v/>
      </c>
      <c r="H81" s="3" t="n">
        <v>4707</v>
      </c>
      <c r="I81" s="4" t="n">
        <v>3096.2646</v>
      </c>
      <c r="J81" s="4">
        <f>I81/1.18</f>
        <v/>
      </c>
      <c r="K81" s="5" t="n">
        <v>0</v>
      </c>
      <c r="L81" s="5">
        <f>(K81)*F81</f>
        <v/>
      </c>
      <c r="M81" s="4">
        <f>J81-L81</f>
        <v/>
      </c>
      <c r="N81" s="3" t="n"/>
      <c r="O81" s="4">
        <f>M81-N81</f>
        <v/>
      </c>
      <c r="P81" s="6">
        <f>O81*1.18</f>
        <v/>
      </c>
    </row>
    <row r="82">
      <c r="A82" s="2" t="n">
        <v>7489184</v>
      </c>
      <c r="B82" s="2" t="inlineStr">
        <is>
          <t>SERVO PRIDE XL PLUS 15W40-20 X 1 L</t>
        </is>
      </c>
      <c r="C82" s="3" t="inlineStr">
        <is>
          <t>CAR</t>
        </is>
      </c>
      <c r="D82" s="3" t="n"/>
      <c r="E82" s="3" t="n">
        <v>20</v>
      </c>
      <c r="F82" s="3" t="n">
        <v>1</v>
      </c>
      <c r="G82" s="3">
        <f>E82/F82</f>
        <v/>
      </c>
      <c r="H82" s="3" t="n">
        <v>513</v>
      </c>
      <c r="I82" s="4" t="n">
        <v>394.8561</v>
      </c>
      <c r="J82" s="4">
        <f>I82/1.18</f>
        <v/>
      </c>
      <c r="K82" s="5" t="n">
        <v>75</v>
      </c>
      <c r="L82" s="5">
        <f>(K82)*F82</f>
        <v/>
      </c>
      <c r="M82" s="4">
        <f>J82-L82</f>
        <v/>
      </c>
      <c r="N82" s="3" t="n"/>
      <c r="O82" s="4">
        <f>M82-N82</f>
        <v/>
      </c>
      <c r="P82" s="6">
        <f>O82*1.18</f>
        <v/>
      </c>
    </row>
    <row r="83">
      <c r="A83" s="2" t="n">
        <v>7489203</v>
      </c>
      <c r="B83" s="2" t="inlineStr">
        <is>
          <t>SERVO PRIDE XL PLUS 15W40-4X3 L</t>
        </is>
      </c>
      <c r="C83" s="3" t="inlineStr">
        <is>
          <t>CAR</t>
        </is>
      </c>
      <c r="D83" s="3" t="n"/>
      <c r="E83" s="3" t="n">
        <v>12</v>
      </c>
      <c r="F83" s="3" t="n">
        <v>3</v>
      </c>
      <c r="G83" s="3">
        <f>E83/F83</f>
        <v/>
      </c>
      <c r="H83" s="3" t="n">
        <v>1541</v>
      </c>
      <c r="I83" s="4" t="n">
        <v>1187.9569</v>
      </c>
      <c r="J83" s="4">
        <f>I83/1.18</f>
        <v/>
      </c>
      <c r="K83" s="5" t="n">
        <v>75</v>
      </c>
      <c r="L83" s="5">
        <f>(K83)*F83</f>
        <v/>
      </c>
      <c r="M83" s="4">
        <f>J83-L83</f>
        <v/>
      </c>
      <c r="N83" s="3" t="n"/>
      <c r="O83" s="4">
        <f>M83-N83</f>
        <v/>
      </c>
      <c r="P83" s="6">
        <f>O83*1.18</f>
        <v/>
      </c>
    </row>
    <row r="84">
      <c r="A84" s="2" t="n">
        <v>7489204</v>
      </c>
      <c r="B84" s="2" t="inlineStr">
        <is>
          <t>SERVO PRIDE XL PLUS 15W40-4 X 3 L PROMO</t>
        </is>
      </c>
      <c r="C84" s="3" t="inlineStr">
        <is>
          <t>CAR</t>
        </is>
      </c>
      <c r="D84" s="3" t="n"/>
      <c r="E84" s="3" t="n">
        <v>12</v>
      </c>
      <c r="F84" s="3" t="n">
        <v>3</v>
      </c>
      <c r="G84" s="3">
        <f>E84/F84</f>
        <v/>
      </c>
      <c r="H84" s="3" t="n">
        <v>1541</v>
      </c>
      <c r="I84" s="4" t="n">
        <v>1187.9569</v>
      </c>
      <c r="J84" s="4">
        <f>I84/1.18</f>
        <v/>
      </c>
      <c r="K84" s="5" t="n">
        <v>75</v>
      </c>
      <c r="L84" s="5">
        <f>(K84)*F84</f>
        <v/>
      </c>
      <c r="M84" s="4">
        <f>J84-L84</f>
        <v/>
      </c>
      <c r="N84" s="3" t="n"/>
      <c r="O84" s="4">
        <f>M84-N84</f>
        <v/>
      </c>
      <c r="P84" s="6">
        <f>O84*1.18</f>
        <v/>
      </c>
    </row>
    <row r="85">
      <c r="A85" s="2" t="n">
        <v>7489234</v>
      </c>
      <c r="B85" s="2" t="inlineStr">
        <is>
          <t>SERVO PRIDE XL PLUS 15W40-4x5L - HDPE</t>
        </is>
      </c>
      <c r="C85" s="3" t="inlineStr">
        <is>
          <t>CAR</t>
        </is>
      </c>
      <c r="D85" s="3" t="n"/>
      <c r="E85" s="3" t="n">
        <v>20</v>
      </c>
      <c r="F85" s="3" t="n">
        <v>5</v>
      </c>
      <c r="G85" s="3">
        <f>E85/F85</f>
        <v/>
      </c>
      <c r="H85" s="3" t="n">
        <v>2526</v>
      </c>
      <c r="I85" s="4" t="n">
        <v>1969.7748</v>
      </c>
      <c r="J85" s="4">
        <f>I85/1.18</f>
        <v/>
      </c>
      <c r="K85" s="5" t="n">
        <v>75</v>
      </c>
      <c r="L85" s="5">
        <f>(K85)*F85</f>
        <v/>
      </c>
      <c r="M85" s="4">
        <f>J85-L85</f>
        <v/>
      </c>
      <c r="N85" s="3" t="n"/>
      <c r="O85" s="4">
        <f>M85-N85</f>
        <v/>
      </c>
      <c r="P85" s="6">
        <f>O85*1.18</f>
        <v/>
      </c>
    </row>
    <row r="86">
      <c r="A86" s="2" t="n">
        <v>7489240</v>
      </c>
      <c r="B86" s="2" t="inlineStr">
        <is>
          <t>SERVO PRIDE XL PLUS 15W40-4 X 5 L PROMO</t>
        </is>
      </c>
      <c r="C86" s="3" t="inlineStr">
        <is>
          <t>CAR</t>
        </is>
      </c>
      <c r="D86" s="3" t="n"/>
      <c r="E86" s="3" t="n">
        <v>20</v>
      </c>
      <c r="F86" s="3" t="n">
        <v>5</v>
      </c>
      <c r="G86" s="3">
        <f>E86/F86</f>
        <v/>
      </c>
      <c r="H86" s="3" t="n">
        <v>2526</v>
      </c>
      <c r="I86" s="4" t="n">
        <v>1969.7748</v>
      </c>
      <c r="J86" s="4">
        <f>I86/1.18</f>
        <v/>
      </c>
      <c r="K86" s="5" t="n">
        <v>75</v>
      </c>
      <c r="L86" s="5">
        <f>(K86)*F86</f>
        <v/>
      </c>
      <c r="M86" s="4">
        <f>J86-L86</f>
        <v/>
      </c>
      <c r="N86" s="3" t="n"/>
      <c r="O86" s="4">
        <f>M86-N86</f>
        <v/>
      </c>
      <c r="P86" s="6">
        <f>O86*1.18</f>
        <v/>
      </c>
    </row>
    <row r="87">
      <c r="A87" s="2" t="n">
        <v>7489241</v>
      </c>
      <c r="B87" s="2" t="inlineStr">
        <is>
          <t>SERVO PRIDE XL PLUS 15W40-10L PROMO</t>
        </is>
      </c>
      <c r="C87" s="3" t="inlineStr">
        <is>
          <t>BUC</t>
        </is>
      </c>
      <c r="D87" s="3" t="n"/>
      <c r="E87" s="3" t="n">
        <v>10</v>
      </c>
      <c r="F87" s="3" t="n">
        <v>10</v>
      </c>
      <c r="G87" s="3">
        <f>E87/F87</f>
        <v/>
      </c>
      <c r="H87" s="3" t="n">
        <v>4995</v>
      </c>
      <c r="I87" s="4" t="n">
        <v>3916.08</v>
      </c>
      <c r="J87" s="4">
        <f>I87/1.18</f>
        <v/>
      </c>
      <c r="K87" s="5" t="n">
        <v>75</v>
      </c>
      <c r="L87" s="5">
        <f>(K87)*F87</f>
        <v/>
      </c>
      <c r="M87" s="4">
        <f>J87-L87</f>
        <v/>
      </c>
      <c r="N87" s="3" t="n"/>
      <c r="O87" s="4">
        <f>M87-N87</f>
        <v/>
      </c>
      <c r="P87" s="6">
        <f>O87*1.18</f>
        <v/>
      </c>
    </row>
    <row r="88">
      <c r="A88" s="2" t="n">
        <v>7489242</v>
      </c>
      <c r="B88" s="2" t="inlineStr">
        <is>
          <t>SERVO PRIDE XL PLUS 15W40-10 L</t>
        </is>
      </c>
      <c r="C88" s="3" t="inlineStr">
        <is>
          <t>BUC</t>
        </is>
      </c>
      <c r="D88" s="3" t="n"/>
      <c r="E88" s="3" t="n">
        <v>10</v>
      </c>
      <c r="F88" s="3" t="n">
        <v>10</v>
      </c>
      <c r="G88" s="3">
        <f>E88/F88</f>
        <v/>
      </c>
      <c r="H88" s="3" t="n">
        <v>4995</v>
      </c>
      <c r="I88" s="4" t="n">
        <v>3916.08</v>
      </c>
      <c r="J88" s="4">
        <f>I88/1.18</f>
        <v/>
      </c>
      <c r="K88" s="5" t="n">
        <v>75</v>
      </c>
      <c r="L88" s="5">
        <f>(K88)*F88</f>
        <v/>
      </c>
      <c r="M88" s="4">
        <f>J88-L88</f>
        <v/>
      </c>
      <c r="N88" s="3" t="n"/>
      <c r="O88" s="4">
        <f>M88-N88</f>
        <v/>
      </c>
      <c r="P88" s="6">
        <f>O88*1.18</f>
        <v/>
      </c>
    </row>
    <row r="89">
      <c r="A89" s="2" t="n">
        <v>7489250</v>
      </c>
      <c r="B89" s="2" t="inlineStr">
        <is>
          <t>SERVO PRIDE XL PLUS 15W40-7.5L PROMO</t>
        </is>
      </c>
      <c r="C89" s="3" t="inlineStr">
        <is>
          <t>BUC</t>
        </is>
      </c>
      <c r="D89" s="3" t="n"/>
      <c r="E89" s="3" t="n">
        <v>7.5</v>
      </c>
      <c r="F89" s="3" t="n">
        <v>7.5</v>
      </c>
      <c r="G89" s="3">
        <f>E89/F89</f>
        <v/>
      </c>
      <c r="H89" s="3" t="n">
        <v>3778</v>
      </c>
      <c r="I89" s="4" t="n">
        <v>2958.174</v>
      </c>
      <c r="J89" s="4">
        <f>I89/1.18</f>
        <v/>
      </c>
      <c r="K89" s="5" t="n">
        <v>75</v>
      </c>
      <c r="L89" s="5">
        <f>(K89)*F89</f>
        <v/>
      </c>
      <c r="M89" s="4">
        <f>J89-L89</f>
        <v/>
      </c>
      <c r="N89" s="3" t="n"/>
      <c r="O89" s="4">
        <f>M89-N89</f>
        <v/>
      </c>
      <c r="P89" s="6">
        <f>O89*1.18</f>
        <v/>
      </c>
    </row>
    <row r="90">
      <c r="A90" s="2" t="n">
        <v>7489251</v>
      </c>
      <c r="B90" s="2" t="inlineStr">
        <is>
          <t>SERVO PRIDE XL PLUS 15W40-7.5 L</t>
        </is>
      </c>
      <c r="C90" s="3" t="inlineStr">
        <is>
          <t>BUC</t>
        </is>
      </c>
      <c r="D90" s="3" t="n"/>
      <c r="E90" s="3" t="n">
        <v>7.5</v>
      </c>
      <c r="F90" s="3" t="n">
        <v>7.5</v>
      </c>
      <c r="G90" s="3">
        <f>E90/F90</f>
        <v/>
      </c>
      <c r="H90" s="3" t="n">
        <v>3778</v>
      </c>
      <c r="I90" s="4" t="n">
        <v>2958.174</v>
      </c>
      <c r="J90" s="4">
        <f>I90/1.18</f>
        <v/>
      </c>
      <c r="K90" s="5" t="n">
        <v>75</v>
      </c>
      <c r="L90" s="5">
        <f>(K90)*F90</f>
        <v/>
      </c>
      <c r="M90" s="4">
        <f>J90-L90</f>
        <v/>
      </c>
      <c r="N90" s="3" t="n"/>
      <c r="O90" s="4">
        <f>M90-N90</f>
        <v/>
      </c>
      <c r="P90" s="6">
        <f>O90*1.18</f>
        <v/>
      </c>
    </row>
    <row r="91">
      <c r="A91" s="2" t="n">
        <v>7489253</v>
      </c>
      <c r="B91" s="2" t="inlineStr">
        <is>
          <t>SERVO PRIDE XL PLUS 15W40-15L PROMO</t>
        </is>
      </c>
      <c r="C91" s="3" t="inlineStr">
        <is>
          <t>BUC</t>
        </is>
      </c>
      <c r="D91" s="3" t="n"/>
      <c r="E91" s="3" t="n">
        <v>15</v>
      </c>
      <c r="F91" s="3" t="n">
        <v>15</v>
      </c>
      <c r="G91" s="3">
        <f>E91/F91</f>
        <v/>
      </c>
      <c r="H91" s="3" t="n">
        <v>7429</v>
      </c>
      <c r="I91" s="4" t="n">
        <v>5807.2493</v>
      </c>
      <c r="J91" s="4">
        <f>I91/1.18</f>
        <v/>
      </c>
      <c r="K91" s="5" t="n">
        <v>75</v>
      </c>
      <c r="L91" s="5">
        <f>(K91)*F91</f>
        <v/>
      </c>
      <c r="M91" s="4">
        <f>J91-L91</f>
        <v/>
      </c>
      <c r="N91" s="3" t="n"/>
      <c r="O91" s="4">
        <f>M91-N91</f>
        <v/>
      </c>
      <c r="P91" s="6">
        <f>O91*1.18</f>
        <v/>
      </c>
    </row>
    <row r="92">
      <c r="A92" s="2" t="n">
        <v>7489256</v>
      </c>
      <c r="B92" s="2" t="inlineStr">
        <is>
          <t>SERVO PRIDE XL PLUS 15W40-15 L</t>
        </is>
      </c>
      <c r="C92" s="3" t="inlineStr">
        <is>
          <t>BUC</t>
        </is>
      </c>
      <c r="D92" s="3" t="n"/>
      <c r="E92" s="3" t="n">
        <v>15</v>
      </c>
      <c r="F92" s="3" t="n">
        <v>15</v>
      </c>
      <c r="G92" s="3">
        <f>E92/F92</f>
        <v/>
      </c>
      <c r="H92" s="3" t="n">
        <v>7429</v>
      </c>
      <c r="I92" s="4" t="n">
        <v>5807.2493</v>
      </c>
      <c r="J92" s="4">
        <f>I92/1.18</f>
        <v/>
      </c>
      <c r="K92" s="5" t="n">
        <v>75</v>
      </c>
      <c r="L92" s="5">
        <f>(K92)*F92</f>
        <v/>
      </c>
      <c r="M92" s="4">
        <f>J92-L92</f>
        <v/>
      </c>
      <c r="N92" s="3" t="n"/>
      <c r="O92" s="4">
        <f>M92-N92</f>
        <v/>
      </c>
      <c r="P92" s="6">
        <f>O92*1.18</f>
        <v/>
      </c>
    </row>
    <row r="93">
      <c r="A93" s="2" t="n">
        <v>7489265</v>
      </c>
      <c r="B93" s="2" t="inlineStr">
        <is>
          <t>SERVO PRIDE XL PLUS 15W40-20 L</t>
        </is>
      </c>
      <c r="C93" s="3" t="inlineStr">
        <is>
          <t>BUC</t>
        </is>
      </c>
      <c r="D93" s="3" t="n"/>
      <c r="E93" s="3" t="n">
        <v>20</v>
      </c>
      <c r="F93" s="3" t="n">
        <v>20</v>
      </c>
      <c r="G93" s="3">
        <f>E93/F93</f>
        <v/>
      </c>
      <c r="H93" s="3" t="n">
        <v>9822</v>
      </c>
      <c r="I93" s="4" t="n">
        <v>7720.092</v>
      </c>
      <c r="J93" s="4">
        <f>I93/1.18</f>
        <v/>
      </c>
      <c r="K93" s="5" t="n">
        <v>75</v>
      </c>
      <c r="L93" s="5">
        <f>(K93)*F93</f>
        <v/>
      </c>
      <c r="M93" s="4">
        <f>J93-L93</f>
        <v/>
      </c>
      <c r="N93" s="3" t="n"/>
      <c r="O93" s="4">
        <f>M93-N93</f>
        <v/>
      </c>
      <c r="P93" s="6">
        <f>O93*1.18</f>
        <v/>
      </c>
    </row>
    <row r="94">
      <c r="A94" s="2" t="n">
        <v>7511184</v>
      </c>
      <c r="B94" s="2" t="inlineStr">
        <is>
          <t>SERVO GEAR SUPER 80W-90 - 20 X 1 L HDPE</t>
        </is>
      </c>
      <c r="C94" s="3" t="inlineStr">
        <is>
          <t>CAR</t>
        </is>
      </c>
      <c r="D94" s="3" t="n"/>
      <c r="E94" s="3" t="n">
        <v>20</v>
      </c>
      <c r="F94" s="3" t="n">
        <v>1</v>
      </c>
      <c r="G94" s="3">
        <f>E94/F94</f>
        <v/>
      </c>
      <c r="H94" s="3" t="n">
        <v>499</v>
      </c>
      <c r="I94" s="4" t="n">
        <v>379.4396000000001</v>
      </c>
      <c r="J94" s="4">
        <f>I94/1.18</f>
        <v/>
      </c>
      <c r="K94" s="5" t="n">
        <v>65</v>
      </c>
      <c r="L94" s="5">
        <f>(K94)*F94</f>
        <v/>
      </c>
      <c r="M94" s="4">
        <f>J94-L94</f>
        <v/>
      </c>
      <c r="N94" s="3" t="n"/>
      <c r="O94" s="4">
        <f>M94-N94</f>
        <v/>
      </c>
      <c r="P94" s="6">
        <f>O94*1.18</f>
        <v/>
      </c>
    </row>
    <row r="95">
      <c r="A95" s="2" t="n">
        <v>7511195</v>
      </c>
      <c r="B95" s="2" t="inlineStr">
        <is>
          <t>SERVO GEAR SUPER 80W-90-4 X 2.5 L</t>
        </is>
      </c>
      <c r="C95" s="3" t="inlineStr">
        <is>
          <t>CAR</t>
        </is>
      </c>
      <c r="D95" s="3" t="n"/>
      <c r="E95" s="3" t="n">
        <v>10</v>
      </c>
      <c r="F95" s="3" t="n">
        <v>2.5</v>
      </c>
      <c r="G95" s="3">
        <f>E95/F95</f>
        <v/>
      </c>
      <c r="H95" s="3" t="n">
        <v>1314</v>
      </c>
      <c r="I95" s="4" t="n">
        <v>943.8462</v>
      </c>
      <c r="J95" s="4">
        <f>I95/1.18</f>
        <v/>
      </c>
      <c r="K95" s="5" t="n">
        <v>65</v>
      </c>
      <c r="L95" s="5">
        <f>(K95)*F95</f>
        <v/>
      </c>
      <c r="M95" s="4">
        <f>J95-L95</f>
        <v/>
      </c>
      <c r="N95" s="3" t="n"/>
      <c r="O95" s="4">
        <f>M95-N95</f>
        <v/>
      </c>
      <c r="P95" s="6">
        <f>O95*1.18</f>
        <v/>
      </c>
    </row>
    <row r="96">
      <c r="A96" s="2" t="n">
        <v>7511234</v>
      </c>
      <c r="B96" s="2" t="inlineStr">
        <is>
          <t>SERVO GEAR SUPER 80W-90 - 4 X 5 L HDPE</t>
        </is>
      </c>
      <c r="C96" s="3" t="inlineStr">
        <is>
          <t>CAR</t>
        </is>
      </c>
      <c r="D96" s="3" t="n"/>
      <c r="E96" s="3" t="n">
        <v>20</v>
      </c>
      <c r="F96" s="3" t="n">
        <v>5</v>
      </c>
      <c r="G96" s="3">
        <f>E96/F96</f>
        <v/>
      </c>
      <c r="H96" s="3" t="n">
        <v>2445</v>
      </c>
      <c r="I96" s="4" t="n">
        <v>1877.76</v>
      </c>
      <c r="J96" s="4">
        <f>I96/1.18</f>
        <v/>
      </c>
      <c r="K96" s="5" t="n">
        <v>65</v>
      </c>
      <c r="L96" s="5">
        <f>(K96)*F96</f>
        <v/>
      </c>
      <c r="M96" s="4">
        <f>J96-L96</f>
        <v/>
      </c>
      <c r="N96" s="3" t="n"/>
      <c r="O96" s="4">
        <f>M96-N96</f>
        <v/>
      </c>
      <c r="P96" s="6">
        <f>O96*1.18</f>
        <v/>
      </c>
    </row>
    <row r="97">
      <c r="A97" s="2" t="n">
        <v>7511240</v>
      </c>
      <c r="B97" s="2" t="inlineStr">
        <is>
          <t>SERVO GEAR SUPER 80W-90-4 X 5 L PROMO</t>
        </is>
      </c>
      <c r="C97" s="3" t="inlineStr">
        <is>
          <t>CAR</t>
        </is>
      </c>
      <c r="D97" s="3" t="n"/>
      <c r="E97" s="3" t="n">
        <v>20</v>
      </c>
      <c r="F97" s="3" t="n">
        <v>5</v>
      </c>
      <c r="G97" s="3">
        <f>E97/F97</f>
        <v/>
      </c>
      <c r="H97" s="3" t="n">
        <v>2445</v>
      </c>
      <c r="I97" s="4" t="n">
        <v>1877.76</v>
      </c>
      <c r="J97" s="4">
        <f>I97/1.18</f>
        <v/>
      </c>
      <c r="K97" s="5" t="n">
        <v>65</v>
      </c>
      <c r="L97" s="5">
        <f>(K97)*F97</f>
        <v/>
      </c>
      <c r="M97" s="4">
        <f>J97-L97</f>
        <v/>
      </c>
      <c r="N97" s="3" t="n"/>
      <c r="O97" s="4">
        <f>M97-N97</f>
        <v/>
      </c>
      <c r="P97" s="6">
        <f>O97*1.18</f>
        <v/>
      </c>
    </row>
    <row r="98">
      <c r="A98" s="2" t="n">
        <v>7511251</v>
      </c>
      <c r="B98" s="2" t="inlineStr">
        <is>
          <t>SERVO GEAR SUPER 80W-90-7.5 L</t>
        </is>
      </c>
      <c r="C98" s="3" t="inlineStr">
        <is>
          <t>BUC</t>
        </is>
      </c>
      <c r="D98" s="3" t="n"/>
      <c r="E98" s="3" t="n">
        <v>7.5</v>
      </c>
      <c r="F98" s="3" t="n">
        <v>7.5</v>
      </c>
      <c r="G98" s="3">
        <f>E98/F98</f>
        <v/>
      </c>
      <c r="H98" s="3" t="n">
        <v>3620</v>
      </c>
      <c r="I98" s="4" t="n">
        <v>2794.278</v>
      </c>
      <c r="J98" s="4">
        <f>I98/1.18</f>
        <v/>
      </c>
      <c r="K98" s="5" t="n">
        <v>65</v>
      </c>
      <c r="L98" s="5">
        <f>(K98)*F98</f>
        <v/>
      </c>
      <c r="M98" s="4">
        <f>J98-L98</f>
        <v/>
      </c>
      <c r="N98" s="3" t="n"/>
      <c r="O98" s="4">
        <f>M98-N98</f>
        <v/>
      </c>
      <c r="P98" s="6">
        <f>O98*1.18</f>
        <v/>
      </c>
    </row>
    <row r="99">
      <c r="A99" s="2" t="n">
        <v>7511265</v>
      </c>
      <c r="B99" s="2" t="inlineStr">
        <is>
          <t>SERVO GEAR SUPER 80W-90 - 20 L BUC</t>
        </is>
      </c>
      <c r="C99" s="3" t="inlineStr">
        <is>
          <t>BUC</t>
        </is>
      </c>
      <c r="D99" s="3" t="n"/>
      <c r="E99" s="3" t="n">
        <v>20</v>
      </c>
      <c r="F99" s="3" t="n">
        <v>20</v>
      </c>
      <c r="G99" s="3">
        <f>E99/F99</f>
        <v/>
      </c>
      <c r="H99" s="3" t="n">
        <v>9414</v>
      </c>
      <c r="I99" s="4" t="n">
        <v>7388.107200000001</v>
      </c>
      <c r="J99" s="4">
        <f>I99/1.18</f>
        <v/>
      </c>
      <c r="K99" s="5" t="n">
        <v>75</v>
      </c>
      <c r="L99" s="5">
        <f>(K99)*F99</f>
        <v/>
      </c>
      <c r="M99" s="4">
        <f>J99-L99</f>
        <v/>
      </c>
      <c r="N99" s="3" t="n"/>
      <c r="O99" s="4">
        <f>M99-N99</f>
        <v/>
      </c>
      <c r="P99" s="6">
        <f>O99*1.18</f>
        <v/>
      </c>
    </row>
    <row r="100">
      <c r="A100" s="2" t="n">
        <v>7511269</v>
      </c>
      <c r="B100" s="2" t="inlineStr">
        <is>
          <t>SERVO GEAR SUPER 80W-90-20 L PROMO</t>
        </is>
      </c>
      <c r="C100" s="3" t="inlineStr">
        <is>
          <t>BUC</t>
        </is>
      </c>
      <c r="D100" s="3" t="n"/>
      <c r="E100" s="3" t="n">
        <v>20</v>
      </c>
      <c r="F100" s="3" t="n">
        <v>20</v>
      </c>
      <c r="G100" s="3">
        <f>E100/F100</f>
        <v/>
      </c>
      <c r="H100" s="3" t="n">
        <v>9414</v>
      </c>
      <c r="I100" s="4" t="n">
        <v>7388.107200000001</v>
      </c>
      <c r="J100" s="4">
        <f>I100/1.18</f>
        <v/>
      </c>
      <c r="K100" s="5" t="n">
        <v>75</v>
      </c>
      <c r="L100" s="5">
        <f>(K100)*F100</f>
        <v/>
      </c>
      <c r="M100" s="4">
        <f>J100-L100</f>
        <v/>
      </c>
      <c r="N100" s="3" t="n"/>
      <c r="O100" s="4">
        <f>M100-N100</f>
        <v/>
      </c>
      <c r="P100" s="6">
        <f>O100*1.18</f>
        <v/>
      </c>
    </row>
    <row r="101">
      <c r="A101" s="2" t="n">
        <v>7515052</v>
      </c>
      <c r="B101" s="2" t="inlineStr">
        <is>
          <t>SERVO GEAR SUPER 85W-140-12 L BUC</t>
        </is>
      </c>
      <c r="C101" s="3" t="inlineStr">
        <is>
          <t>BUC</t>
        </is>
      </c>
      <c r="D101" s="3" t="n"/>
      <c r="E101" s="3" t="n">
        <v>12</v>
      </c>
      <c r="F101" s="3" t="n">
        <v>12</v>
      </c>
      <c r="G101" s="3">
        <f>E101/F101</f>
        <v/>
      </c>
      <c r="H101" s="3" t="n">
        <v>6352</v>
      </c>
      <c r="I101" s="4" t="n">
        <v>4716.9952</v>
      </c>
      <c r="J101" s="4">
        <f>I101/1.18</f>
        <v/>
      </c>
      <c r="K101" s="5" t="n">
        <v>65</v>
      </c>
      <c r="L101" s="5">
        <f>(K101)*F101</f>
        <v/>
      </c>
      <c r="M101" s="4">
        <f>J101-L101</f>
        <v/>
      </c>
      <c r="N101" s="3" t="n"/>
      <c r="O101" s="4">
        <f>M101-N101</f>
        <v/>
      </c>
      <c r="P101" s="6">
        <f>O101*1.18</f>
        <v/>
      </c>
    </row>
    <row r="102">
      <c r="A102" s="2" t="n">
        <v>7515184</v>
      </c>
      <c r="B102" s="2" t="inlineStr">
        <is>
          <t>SERVO GEAR SUPER 85W-140 - 20 X 1 L HDPE</t>
        </is>
      </c>
      <c r="C102" s="3" t="inlineStr">
        <is>
          <t>CAR</t>
        </is>
      </c>
      <c r="D102" s="3" t="n"/>
      <c r="E102" s="3" t="n">
        <v>20</v>
      </c>
      <c r="F102" s="3" t="n">
        <v>1</v>
      </c>
      <c r="G102" s="3">
        <f>E102/F102</f>
        <v/>
      </c>
      <c r="H102" s="3" t="n">
        <v>551</v>
      </c>
      <c r="I102" s="4" t="n">
        <v>405.6462</v>
      </c>
      <c r="J102" s="4">
        <f>I102/1.18</f>
        <v/>
      </c>
      <c r="K102" s="5" t="n">
        <v>65</v>
      </c>
      <c r="L102" s="5">
        <f>(K102)*F102</f>
        <v/>
      </c>
      <c r="M102" s="4">
        <f>J102-L102</f>
        <v/>
      </c>
      <c r="N102" s="3" t="n"/>
      <c r="O102" s="4">
        <f>M102-N102</f>
        <v/>
      </c>
      <c r="P102" s="6">
        <f>O102*1.18</f>
        <v/>
      </c>
    </row>
    <row r="103">
      <c r="A103" s="2" t="n">
        <v>7515234</v>
      </c>
      <c r="B103" s="2" t="inlineStr">
        <is>
          <t>SERVO GEAR SUPER 85W-140 - 4 X 5 L HDPE</t>
        </is>
      </c>
      <c r="C103" s="3" t="inlineStr">
        <is>
          <t>CAR</t>
        </is>
      </c>
      <c r="D103" s="3" t="n"/>
      <c r="E103" s="3" t="n">
        <v>20</v>
      </c>
      <c r="F103" s="3" t="n">
        <v>5</v>
      </c>
      <c r="G103" s="3">
        <f>E103/F103</f>
        <v/>
      </c>
      <c r="H103" s="3" t="n">
        <v>2588</v>
      </c>
      <c r="I103" s="4" t="n">
        <v>2015.0168</v>
      </c>
      <c r="J103" s="4">
        <f>I103/1.18</f>
        <v/>
      </c>
      <c r="K103" s="5" t="n">
        <v>65</v>
      </c>
      <c r="L103" s="5">
        <f>(K103)*F103</f>
        <v/>
      </c>
      <c r="M103" s="4">
        <f>J103-L103</f>
        <v/>
      </c>
      <c r="N103" s="3" t="n"/>
      <c r="O103" s="4">
        <f>M103-N103</f>
        <v/>
      </c>
      <c r="P103" s="6">
        <f>O103*1.18</f>
        <v/>
      </c>
    </row>
    <row r="104">
      <c r="A104" s="2" t="n">
        <v>7515240</v>
      </c>
      <c r="B104" s="2" t="inlineStr">
        <is>
          <t>SERVO GEAR SUPER 85W-140-4 X 5 L PROMO</t>
        </is>
      </c>
      <c r="C104" s="3" t="inlineStr">
        <is>
          <t>CAR</t>
        </is>
      </c>
      <c r="D104" s="3" t="n"/>
      <c r="E104" s="3" t="n">
        <v>20</v>
      </c>
      <c r="F104" s="3" t="n">
        <v>5</v>
      </c>
      <c r="G104" s="3">
        <f>E104/F104</f>
        <v/>
      </c>
      <c r="H104" s="3" t="n">
        <v>2588</v>
      </c>
      <c r="I104" s="4" t="n">
        <v>2015.0168</v>
      </c>
      <c r="J104" s="4">
        <f>I104/1.18</f>
        <v/>
      </c>
      <c r="K104" s="5" t="n">
        <v>65</v>
      </c>
      <c r="L104" s="5">
        <f>(K104)*F104</f>
        <v/>
      </c>
      <c r="M104" s="4">
        <f>J104-L104</f>
        <v/>
      </c>
      <c r="N104" s="3" t="n"/>
      <c r="O104" s="4">
        <f>M104-N104</f>
        <v/>
      </c>
      <c r="P104" s="6">
        <f>O104*1.18</f>
        <v/>
      </c>
    </row>
    <row r="105">
      <c r="A105" s="2" t="n">
        <v>7515251</v>
      </c>
      <c r="B105" s="2" t="inlineStr">
        <is>
          <t>SERVO GEAR SUPER 85W-140-7.5 L</t>
        </is>
      </c>
      <c r="C105" s="3" t="inlineStr">
        <is>
          <t>BUC</t>
        </is>
      </c>
      <c r="D105" s="3" t="n"/>
      <c r="E105" s="3" t="n">
        <v>7.5</v>
      </c>
      <c r="F105" s="3" t="n">
        <v>7.5</v>
      </c>
      <c r="G105" s="3">
        <f>E105/F105</f>
        <v/>
      </c>
      <c r="H105" s="3" t="n">
        <v>3871</v>
      </c>
      <c r="I105" s="4" t="n">
        <v>3011.2509</v>
      </c>
      <c r="J105" s="4">
        <f>I105/1.18</f>
        <v/>
      </c>
      <c r="K105" s="5" t="n">
        <v>75</v>
      </c>
      <c r="L105" s="5">
        <f>(K105)*F105</f>
        <v/>
      </c>
      <c r="M105" s="4">
        <f>J105-L105</f>
        <v/>
      </c>
      <c r="N105" s="3" t="n"/>
      <c r="O105" s="4">
        <f>M105-N105</f>
        <v/>
      </c>
      <c r="P105" s="6">
        <f>O105*1.18</f>
        <v/>
      </c>
    </row>
    <row r="106">
      <c r="A106" s="2" t="n">
        <v>7515265</v>
      </c>
      <c r="B106" s="2" t="inlineStr">
        <is>
          <t>SERVO GEAR SUPER 85W-140-20 L BUC</t>
        </is>
      </c>
      <c r="C106" s="3" t="inlineStr">
        <is>
          <t>BUC</t>
        </is>
      </c>
      <c r="D106" s="3" t="n"/>
      <c r="E106" s="3" t="n">
        <v>20</v>
      </c>
      <c r="F106" s="3" t="n">
        <v>20</v>
      </c>
      <c r="G106" s="3">
        <f>E106/F106</f>
        <v/>
      </c>
      <c r="H106" s="3" t="n">
        <v>9975</v>
      </c>
      <c r="I106" s="4" t="n">
        <v>7805.4375</v>
      </c>
      <c r="J106" s="4">
        <f>I106/1.18</f>
        <v/>
      </c>
      <c r="K106" s="5" t="n">
        <v>80</v>
      </c>
      <c r="L106" s="5">
        <f>(K106)*F106</f>
        <v/>
      </c>
      <c r="M106" s="4">
        <f>J106-L106</f>
        <v/>
      </c>
      <c r="N106" s="3" t="n"/>
      <c r="O106" s="4">
        <f>M106-N106</f>
        <v/>
      </c>
      <c r="P106" s="6">
        <f>O106*1.18</f>
        <v/>
      </c>
    </row>
    <row r="107">
      <c r="A107" s="2" t="n">
        <v>7515269</v>
      </c>
      <c r="B107" s="2" t="inlineStr">
        <is>
          <t>SERVO GEAR SUPER 85W-140-20 L PROMO</t>
        </is>
      </c>
      <c r="C107" s="3" t="inlineStr">
        <is>
          <t>BUC</t>
        </is>
      </c>
      <c r="D107" s="3" t="n"/>
      <c r="E107" s="3" t="n">
        <v>20</v>
      </c>
      <c r="F107" s="3" t="n">
        <v>20</v>
      </c>
      <c r="G107" s="3">
        <f>E107/F107</f>
        <v/>
      </c>
      <c r="H107" s="3" t="n">
        <v>9975</v>
      </c>
      <c r="I107" s="4" t="n">
        <v>7805.4375</v>
      </c>
      <c r="J107" s="4">
        <f>I107/1.18</f>
        <v/>
      </c>
      <c r="K107" s="5" t="n">
        <v>80</v>
      </c>
      <c r="L107" s="5">
        <f>(K107)*F107</f>
        <v/>
      </c>
      <c r="M107" s="4">
        <f>J107-L107</f>
        <v/>
      </c>
      <c r="N107" s="3" t="n"/>
      <c r="O107" s="4">
        <f>M107-N107</f>
        <v/>
      </c>
      <c r="P107" s="6">
        <f>O107*1.18</f>
        <v/>
      </c>
    </row>
    <row r="108">
      <c r="A108" s="2" t="n">
        <v>7530225</v>
      </c>
      <c r="B108" s="2" t="inlineStr">
        <is>
          <t>SERVO CHAKKADA ENG OIL-20 X 1.2 L</t>
        </is>
      </c>
      <c r="C108" s="3" t="inlineStr">
        <is>
          <t>CAR</t>
        </is>
      </c>
      <c r="D108" s="3" t="n"/>
      <c r="E108" s="3" t="n">
        <v>24</v>
      </c>
      <c r="F108" s="3" t="n">
        <v>1.2</v>
      </c>
      <c r="G108" s="3">
        <f>E108/F108</f>
        <v/>
      </c>
      <c r="H108" s="3" t="n">
        <v>580</v>
      </c>
      <c r="I108" s="4" t="n">
        <v>450.4279999999999</v>
      </c>
      <c r="J108" s="4">
        <f>I108/1.18</f>
        <v/>
      </c>
      <c r="K108" s="5" t="n">
        <v>60</v>
      </c>
      <c r="L108" s="5">
        <f>(K108)*F108</f>
        <v/>
      </c>
      <c r="M108" s="4">
        <f>J108-L108</f>
        <v/>
      </c>
      <c r="N108" s="3" t="n"/>
      <c r="O108" s="4">
        <f>M108-N108</f>
        <v/>
      </c>
      <c r="P108" s="6">
        <f>O108*1.18</f>
        <v/>
      </c>
    </row>
    <row r="109">
      <c r="A109" s="2" t="n">
        <v>7553213</v>
      </c>
      <c r="B109" s="2" t="inlineStr">
        <is>
          <t>SERVO TILLER SUPER 20W-40-4 X 3.5 L</t>
        </is>
      </c>
      <c r="C109" s="3" t="inlineStr">
        <is>
          <t>CAR</t>
        </is>
      </c>
      <c r="D109" s="3" t="n"/>
      <c r="E109" s="3" t="n">
        <v>14</v>
      </c>
      <c r="F109" s="3" t="n">
        <v>3.5</v>
      </c>
      <c r="G109" s="3">
        <f>E109/F109</f>
        <v/>
      </c>
      <c r="H109" s="3" t="n">
        <v>1721</v>
      </c>
      <c r="I109" s="4" t="n">
        <v>1255.6416</v>
      </c>
      <c r="J109" s="4">
        <f>I109/1.18</f>
        <v/>
      </c>
      <c r="K109" s="5" t="n">
        <v>60</v>
      </c>
      <c r="L109" s="5">
        <f>(K109)*F109</f>
        <v/>
      </c>
      <c r="M109" s="4">
        <f>J109-L109</f>
        <v/>
      </c>
      <c r="N109" s="3" t="n"/>
      <c r="O109" s="4">
        <f>M109-N109</f>
        <v/>
      </c>
      <c r="P109" s="6">
        <f>O109*1.18</f>
        <v/>
      </c>
    </row>
    <row r="110">
      <c r="A110" s="2" t="n">
        <v>7556184</v>
      </c>
      <c r="B110" s="2" t="inlineStr">
        <is>
          <t>SERVO PRIDE TC 15W40 - 20X1L-HDPE</t>
        </is>
      </c>
      <c r="C110" s="3" t="inlineStr">
        <is>
          <t>CAR</t>
        </is>
      </c>
      <c r="D110" s="3" t="n"/>
      <c r="E110" s="3" t="n">
        <v>20</v>
      </c>
      <c r="F110" s="3" t="n">
        <v>1</v>
      </c>
      <c r="G110" s="3">
        <f>E110/F110</f>
        <v/>
      </c>
      <c r="H110" s="3" t="n">
        <v>481</v>
      </c>
      <c r="I110" s="4" t="n">
        <v>369.7928</v>
      </c>
      <c r="J110" s="4">
        <f>I110/1.18</f>
        <v/>
      </c>
      <c r="K110" s="5" t="n">
        <v>50</v>
      </c>
      <c r="L110" s="5">
        <f>(K110)*F110</f>
        <v/>
      </c>
      <c r="M110" s="4">
        <f>J110-L110</f>
        <v/>
      </c>
      <c r="N110" s="3" t="n"/>
      <c r="O110" s="4">
        <f>M110-N110</f>
        <v/>
      </c>
      <c r="P110" s="6">
        <f>O110*1.18</f>
        <v/>
      </c>
    </row>
    <row r="111">
      <c r="A111" s="2" t="n">
        <v>7556195</v>
      </c>
      <c r="B111" s="2" t="inlineStr">
        <is>
          <t>SERVO PRIDE TC 15W-40 - 4 X 2.5 L HDPE</t>
        </is>
      </c>
      <c r="C111" s="3" t="inlineStr">
        <is>
          <t>CAR</t>
        </is>
      </c>
      <c r="D111" s="3" t="n"/>
      <c r="E111" s="3" t="n">
        <v>10</v>
      </c>
      <c r="F111" s="3" t="n">
        <v>2.5</v>
      </c>
      <c r="G111" s="3">
        <f>E111/F111</f>
        <v/>
      </c>
      <c r="H111" s="3" t="n">
        <v>1220</v>
      </c>
      <c r="I111" s="4" t="n">
        <v>938.4240000000001</v>
      </c>
      <c r="J111" s="4">
        <f>I111/1.18</f>
        <v/>
      </c>
      <c r="K111" s="5" t="n">
        <v>50</v>
      </c>
      <c r="L111" s="5">
        <f>(K111)*F111</f>
        <v/>
      </c>
      <c r="M111" s="4">
        <f>J111-L111</f>
        <v/>
      </c>
      <c r="N111" s="3" t="n"/>
      <c r="O111" s="4">
        <f>M111-N111</f>
        <v/>
      </c>
      <c r="P111" s="6">
        <f>O111*1.18</f>
        <v/>
      </c>
    </row>
    <row r="112">
      <c r="A112" s="2" t="n">
        <v>7556203</v>
      </c>
      <c r="B112" s="2" t="inlineStr">
        <is>
          <t>SERVO PRIDE TC 15W-40 - 4 X 3 L HDPE</t>
        </is>
      </c>
      <c r="C112" s="3" t="inlineStr">
        <is>
          <t>CAR</t>
        </is>
      </c>
      <c r="D112" s="3" t="n"/>
      <c r="E112" s="3" t="n">
        <v>12</v>
      </c>
      <c r="F112" s="3" t="n">
        <v>3</v>
      </c>
      <c r="G112" s="3">
        <f>E112/F112</f>
        <v/>
      </c>
      <c r="H112" s="3" t="n">
        <v>1433</v>
      </c>
      <c r="I112" s="4" t="n">
        <v>1109.5719</v>
      </c>
      <c r="J112" s="4">
        <f>I112/1.18</f>
        <v/>
      </c>
      <c r="K112" s="5" t="n">
        <v>70</v>
      </c>
      <c r="L112" s="5">
        <f>(K112)*F112</f>
        <v/>
      </c>
      <c r="M112" s="4">
        <f>J112-L112</f>
        <v/>
      </c>
      <c r="N112" s="3" t="n"/>
      <c r="O112" s="4">
        <f>M112-N112</f>
        <v/>
      </c>
      <c r="P112" s="6">
        <f>O112*1.18</f>
        <v/>
      </c>
    </row>
    <row r="113">
      <c r="A113" s="2" t="n">
        <v>7556204</v>
      </c>
      <c r="B113" s="2" t="inlineStr">
        <is>
          <t>SERVO PRIDE TC 15W40-4X3 L PROMO</t>
        </is>
      </c>
      <c r="C113" s="3" t="inlineStr">
        <is>
          <t>CAR</t>
        </is>
      </c>
      <c r="D113" s="3" t="n"/>
      <c r="E113" s="3" t="n">
        <v>12</v>
      </c>
      <c r="F113" s="3" t="n">
        <v>3</v>
      </c>
      <c r="G113" s="3">
        <f>E113/F113</f>
        <v/>
      </c>
      <c r="H113" s="3" t="n">
        <v>1433</v>
      </c>
      <c r="I113" s="4" t="n">
        <v>1109.5719</v>
      </c>
      <c r="J113" s="4">
        <f>I113/1.18</f>
        <v/>
      </c>
      <c r="K113" s="5" t="n">
        <v>70</v>
      </c>
      <c r="L113" s="5">
        <f>(K113)*F113</f>
        <v/>
      </c>
      <c r="M113" s="4">
        <f>J113-L113</f>
        <v/>
      </c>
      <c r="N113" s="3" t="n"/>
      <c r="O113" s="4">
        <f>M113-N113</f>
        <v/>
      </c>
      <c r="P113" s="6">
        <f>O113*1.18</f>
        <v/>
      </c>
    </row>
    <row r="114">
      <c r="A114" s="2" t="n">
        <v>7556234</v>
      </c>
      <c r="B114" s="2" t="inlineStr">
        <is>
          <t>SERVO PRIDE TC 15W-40- 4 X 5L</t>
        </is>
      </c>
      <c r="C114" s="3" t="inlineStr">
        <is>
          <t>CAR</t>
        </is>
      </c>
      <c r="D114" s="3" t="n"/>
      <c r="E114" s="3" t="n">
        <v>20</v>
      </c>
      <c r="F114" s="3" t="n">
        <v>5</v>
      </c>
      <c r="G114" s="3">
        <f>E114/F114</f>
        <v/>
      </c>
      <c r="H114" s="3" t="n">
        <v>2365</v>
      </c>
      <c r="I114" s="4" t="n">
        <v>1834.767</v>
      </c>
      <c r="J114" s="4">
        <f>I114/1.18</f>
        <v/>
      </c>
      <c r="K114" s="5" t="n">
        <v>70</v>
      </c>
      <c r="L114" s="5">
        <f>(K114)*F114</f>
        <v/>
      </c>
      <c r="M114" s="4">
        <f>J114-L114</f>
        <v/>
      </c>
      <c r="N114" s="3" t="n"/>
      <c r="O114" s="4">
        <f>M114-N114</f>
        <v/>
      </c>
      <c r="P114" s="6">
        <f>O114*1.18</f>
        <v/>
      </c>
    </row>
    <row r="115">
      <c r="A115" s="2" t="n">
        <v>7556241</v>
      </c>
      <c r="B115" s="2" t="inlineStr">
        <is>
          <t>SERVO PRIDE TC 15W40-10L PROMO</t>
        </is>
      </c>
      <c r="C115" s="3" t="inlineStr">
        <is>
          <t>BUC</t>
        </is>
      </c>
      <c r="D115" s="3" t="n"/>
      <c r="E115" s="3" t="n">
        <v>10</v>
      </c>
      <c r="F115" s="3" t="n">
        <v>10</v>
      </c>
      <c r="G115" s="3">
        <f>E115/F115</f>
        <v/>
      </c>
      <c r="H115" s="3" t="n">
        <v>4675</v>
      </c>
      <c r="I115" s="4" t="n">
        <v>3637.15</v>
      </c>
      <c r="J115" s="4">
        <f>I115/1.18</f>
        <v/>
      </c>
      <c r="K115" s="5" t="n">
        <v>70</v>
      </c>
      <c r="L115" s="5">
        <f>(K115)*F115</f>
        <v/>
      </c>
      <c r="M115" s="4">
        <f>J115-L115</f>
        <v/>
      </c>
      <c r="N115" s="3" t="n"/>
      <c r="O115" s="4">
        <f>M115-N115</f>
        <v/>
      </c>
      <c r="P115" s="6">
        <f>O115*1.18</f>
        <v/>
      </c>
    </row>
    <row r="116">
      <c r="A116" s="2" t="n">
        <v>7556242</v>
      </c>
      <c r="B116" s="2" t="inlineStr">
        <is>
          <t>SERVO PRIDE TC 15W-40 - 10 L BUC</t>
        </is>
      </c>
      <c r="C116" s="3" t="inlineStr">
        <is>
          <t>BUC</t>
        </is>
      </c>
      <c r="D116" s="3" t="n"/>
      <c r="E116" s="3" t="n">
        <v>10</v>
      </c>
      <c r="F116" s="3" t="n">
        <v>10</v>
      </c>
      <c r="G116" s="3">
        <f>E116/F116</f>
        <v/>
      </c>
      <c r="H116" s="3" t="n">
        <v>4675</v>
      </c>
      <c r="I116" s="4" t="n">
        <v>3637.15</v>
      </c>
      <c r="J116" s="4">
        <f>I116/1.18</f>
        <v/>
      </c>
      <c r="K116" s="5" t="n">
        <v>75</v>
      </c>
      <c r="L116" s="5">
        <f>(K116)*F116</f>
        <v/>
      </c>
      <c r="M116" s="4">
        <f>J116-L116</f>
        <v/>
      </c>
      <c r="N116" s="3" t="n"/>
      <c r="O116" s="4">
        <f>M116-N116</f>
        <v/>
      </c>
      <c r="P116" s="6">
        <f>O116*1.18</f>
        <v/>
      </c>
    </row>
    <row r="117">
      <c r="A117" s="2" t="n">
        <v>7556250</v>
      </c>
      <c r="B117" s="2" t="inlineStr">
        <is>
          <t>SERVO PRIDE TC 15W40-7.5L PROMO</t>
        </is>
      </c>
      <c r="C117" s="3" t="inlineStr">
        <is>
          <t>BUC</t>
        </is>
      </c>
      <c r="D117" s="3" t="n"/>
      <c r="E117" s="3" t="n">
        <v>7.5</v>
      </c>
      <c r="F117" s="3" t="n">
        <v>7.5</v>
      </c>
      <c r="G117" s="3">
        <f>E117/F117</f>
        <v/>
      </c>
      <c r="H117" s="3" t="n">
        <v>3537</v>
      </c>
      <c r="I117" s="4" t="n">
        <v>2753.9082</v>
      </c>
      <c r="J117" s="4">
        <f>I117/1.18</f>
        <v/>
      </c>
      <c r="K117" s="5" t="n">
        <v>70</v>
      </c>
      <c r="L117" s="5">
        <f>(K117)*F117</f>
        <v/>
      </c>
      <c r="M117" s="4">
        <f>J117-L117</f>
        <v/>
      </c>
      <c r="N117" s="3" t="n"/>
      <c r="O117" s="4">
        <f>M117-N117</f>
        <v/>
      </c>
      <c r="P117" s="6">
        <f>O117*1.18</f>
        <v/>
      </c>
    </row>
    <row r="118">
      <c r="A118" s="2" t="n">
        <v>7556251</v>
      </c>
      <c r="B118" s="2" t="inlineStr">
        <is>
          <t>SERVO PRIDE TC 15W40 - 7.5L BUC</t>
        </is>
      </c>
      <c r="C118" s="3" t="inlineStr">
        <is>
          <t>BUC</t>
        </is>
      </c>
      <c r="D118" s="3" t="n"/>
      <c r="E118" s="3" t="n">
        <v>7.5</v>
      </c>
      <c r="F118" s="3" t="n">
        <v>7.5</v>
      </c>
      <c r="G118" s="3">
        <f>E118/F118</f>
        <v/>
      </c>
      <c r="H118" s="3" t="n">
        <v>3537</v>
      </c>
      <c r="I118" s="4" t="n">
        <v>2753.9082</v>
      </c>
      <c r="J118" s="4">
        <f>I118/1.18</f>
        <v/>
      </c>
      <c r="K118" s="5" t="n">
        <v>80</v>
      </c>
      <c r="L118" s="5">
        <f>(K118)*F118</f>
        <v/>
      </c>
      <c r="M118" s="4">
        <f>J118-L118</f>
        <v/>
      </c>
      <c r="N118" s="3" t="n"/>
      <c r="O118" s="4">
        <f>M118-N118</f>
        <v/>
      </c>
      <c r="P118" s="6">
        <f>O118*1.18</f>
        <v/>
      </c>
    </row>
    <row r="119">
      <c r="A119" s="2" t="n">
        <v>7556253</v>
      </c>
      <c r="B119" s="2" t="inlineStr">
        <is>
          <t>SERVO PRIDE TC 15W40-15L PROMO</t>
        </is>
      </c>
      <c r="C119" s="3" t="inlineStr">
        <is>
          <t>BUC</t>
        </is>
      </c>
      <c r="D119" s="3" t="n"/>
      <c r="E119" s="3" t="n">
        <v>15</v>
      </c>
      <c r="F119" s="3" t="n">
        <v>15</v>
      </c>
      <c r="G119" s="3">
        <f>E119/F119</f>
        <v/>
      </c>
      <c r="H119" s="3" t="n">
        <v>6885</v>
      </c>
      <c r="I119" s="4" t="n">
        <v>5410.9215</v>
      </c>
      <c r="J119" s="4">
        <f>I119/1.18</f>
        <v/>
      </c>
      <c r="K119" s="5" t="n">
        <v>70</v>
      </c>
      <c r="L119" s="5">
        <f>(K119)*F119</f>
        <v/>
      </c>
      <c r="M119" s="4">
        <f>J119-L119</f>
        <v/>
      </c>
      <c r="N119" s="3" t="n"/>
      <c r="O119" s="4">
        <f>M119-N119</f>
        <v/>
      </c>
      <c r="P119" s="6">
        <f>O119*1.18</f>
        <v/>
      </c>
    </row>
    <row r="120">
      <c r="A120" s="2" t="n">
        <v>7556256</v>
      </c>
      <c r="B120" s="2" t="inlineStr">
        <is>
          <t>SERVO PRIDE TC 15W40 - 15 L BUC</t>
        </is>
      </c>
      <c r="C120" s="3" t="inlineStr">
        <is>
          <t>BUC</t>
        </is>
      </c>
      <c r="D120" s="3" t="n"/>
      <c r="E120" s="3" t="n">
        <v>15</v>
      </c>
      <c r="F120" s="3" t="n">
        <v>15</v>
      </c>
      <c r="G120" s="3">
        <f>E120/F120</f>
        <v/>
      </c>
      <c r="H120" s="3" t="n">
        <v>6885</v>
      </c>
      <c r="I120" s="4" t="n">
        <v>5410.9215</v>
      </c>
      <c r="J120" s="4">
        <f>I120/1.18</f>
        <v/>
      </c>
      <c r="K120" s="5" t="n">
        <v>80</v>
      </c>
      <c r="L120" s="5">
        <f>(K120)*F120</f>
        <v/>
      </c>
      <c r="M120" s="4">
        <f>J120-L120</f>
        <v/>
      </c>
      <c r="N120" s="3" t="n"/>
      <c r="O120" s="4">
        <f>M120-N120</f>
        <v/>
      </c>
      <c r="P120" s="6">
        <f>O120*1.18</f>
        <v/>
      </c>
    </row>
    <row r="121">
      <c r="A121" s="2" t="n">
        <v>7556265</v>
      </c>
      <c r="B121" s="2" t="inlineStr">
        <is>
          <t>SERVO PRIDE TC 15W40 - 20L BUC</t>
        </is>
      </c>
      <c r="C121" s="3" t="inlineStr">
        <is>
          <t>BUC</t>
        </is>
      </c>
      <c r="D121" s="3" t="n"/>
      <c r="E121" s="3" t="n">
        <v>20</v>
      </c>
      <c r="F121" s="3" t="n">
        <v>20</v>
      </c>
      <c r="G121" s="3">
        <f>E121/F121</f>
        <v/>
      </c>
      <c r="H121" s="3" t="n">
        <v>9174</v>
      </c>
      <c r="I121" s="4" t="n">
        <v>7196.085599999999</v>
      </c>
      <c r="J121" s="4">
        <f>I121/1.18</f>
        <v/>
      </c>
      <c r="K121" s="5" t="n">
        <v>80</v>
      </c>
      <c r="L121" s="5">
        <f>(K121)*F121</f>
        <v/>
      </c>
      <c r="M121" s="4">
        <f>J121-L121</f>
        <v/>
      </c>
      <c r="N121" s="3" t="n"/>
      <c r="O121" s="4">
        <f>M121-N121</f>
        <v/>
      </c>
      <c r="P121" s="6">
        <f>O121*1.18</f>
        <v/>
      </c>
    </row>
    <row r="122">
      <c r="A122" s="2" t="n">
        <v>7563250</v>
      </c>
      <c r="B122" s="2" t="inlineStr">
        <is>
          <t>SERVO TRACTOR OIL MG 20W-40-7.5L PROMO</t>
        </is>
      </c>
      <c r="C122" s="3" t="inlineStr">
        <is>
          <t>BUC</t>
        </is>
      </c>
      <c r="D122" s="3" t="n"/>
      <c r="E122" s="3" t="n">
        <v>7.5</v>
      </c>
      <c r="F122" s="3" t="n">
        <v>7.5</v>
      </c>
      <c r="G122" s="3">
        <f>E122/F122</f>
        <v/>
      </c>
      <c r="H122" s="3" t="n">
        <v>3475</v>
      </c>
      <c r="I122" s="4" t="n">
        <v>2685.48</v>
      </c>
      <c r="J122" s="4">
        <f>I122/1.18</f>
        <v/>
      </c>
      <c r="K122" s="5" t="n">
        <v>65</v>
      </c>
      <c r="L122" s="5">
        <f>(K122)*F122</f>
        <v/>
      </c>
      <c r="M122" s="4">
        <f>J122-L122</f>
        <v/>
      </c>
      <c r="N122" s="3" t="n"/>
      <c r="O122" s="4">
        <f>M122-N122</f>
        <v/>
      </c>
      <c r="P122" s="6">
        <f>O122*1.18</f>
        <v/>
      </c>
    </row>
    <row r="123">
      <c r="A123" s="2" t="n">
        <v>7563251</v>
      </c>
      <c r="B123" s="2" t="inlineStr">
        <is>
          <t>SERVO TRACTOR OIL MG 20W-40 - 7.5L BUC</t>
        </is>
      </c>
      <c r="C123" s="3" t="inlineStr">
        <is>
          <t>BUC</t>
        </is>
      </c>
      <c r="D123" s="3" t="n"/>
      <c r="E123" s="3" t="n">
        <v>7.5</v>
      </c>
      <c r="F123" s="3" t="n">
        <v>7.5</v>
      </c>
      <c r="G123" s="3">
        <f>E123/F123</f>
        <v/>
      </c>
      <c r="H123" s="3" t="n">
        <v>3475</v>
      </c>
      <c r="I123" s="4" t="n">
        <v>2685.48</v>
      </c>
      <c r="J123" s="4">
        <f>I123/1.18</f>
        <v/>
      </c>
      <c r="K123" s="5" t="n">
        <v>65</v>
      </c>
      <c r="L123" s="5">
        <f>(K123)*F123</f>
        <v/>
      </c>
      <c r="M123" s="4">
        <f>J123-L123</f>
        <v/>
      </c>
      <c r="N123" s="3" t="n"/>
      <c r="O123" s="4">
        <f>M123-N123</f>
        <v/>
      </c>
      <c r="P123" s="6">
        <f>O123*1.18</f>
        <v/>
      </c>
    </row>
    <row r="124">
      <c r="A124" s="2" t="n">
        <v>7577174</v>
      </c>
      <c r="B124" s="2" t="inlineStr">
        <is>
          <t>SERVO PREMIUM CF-4 15W-40-40X1/2L-HDPE</t>
        </is>
      </c>
      <c r="C124" s="3" t="inlineStr">
        <is>
          <t>CAR</t>
        </is>
      </c>
      <c r="D124" s="3" t="n"/>
      <c r="E124" s="3" t="n">
        <v>20</v>
      </c>
      <c r="F124" s="3" t="n">
        <v>0.5</v>
      </c>
      <c r="G124" s="3">
        <f>E124/F124</f>
        <v/>
      </c>
      <c r="H124" s="3" t="n">
        <v>251</v>
      </c>
      <c r="I124" s="4" t="n">
        <v>188.8524</v>
      </c>
      <c r="J124" s="4">
        <f>I124/1.18</f>
        <v/>
      </c>
      <c r="K124" s="5" t="n">
        <v>35</v>
      </c>
      <c r="L124" s="5">
        <f>(K124)*F124</f>
        <v/>
      </c>
      <c r="M124" s="4">
        <f>J124-L124</f>
        <v/>
      </c>
      <c r="N124" s="3" t="n"/>
      <c r="O124" s="4">
        <f>M124-N124</f>
        <v/>
      </c>
      <c r="P124" s="6">
        <f>O124*1.18</f>
        <v/>
      </c>
    </row>
    <row r="125">
      <c r="A125" s="2" t="n">
        <v>7577175</v>
      </c>
      <c r="B125" s="2" t="inlineStr">
        <is>
          <t>SERVO PREMIUM CF-4 15W-40-20X1/2L-HDPE</t>
        </is>
      </c>
      <c r="C125" s="3" t="inlineStr">
        <is>
          <t>CAR</t>
        </is>
      </c>
      <c r="D125" s="3" t="n"/>
      <c r="E125" s="3" t="n">
        <v>10</v>
      </c>
      <c r="F125" s="3" t="n">
        <v>0.5</v>
      </c>
      <c r="G125" s="3">
        <f>E125/F125</f>
        <v/>
      </c>
      <c r="H125" s="3" t="n">
        <v>251</v>
      </c>
      <c r="I125" s="4" t="n">
        <v>188.8524</v>
      </c>
      <c r="J125" s="4">
        <f>I125/1.18</f>
        <v/>
      </c>
      <c r="K125" s="5" t="n">
        <v>35</v>
      </c>
      <c r="L125" s="5">
        <f>(K125)*F125</f>
        <v/>
      </c>
      <c r="M125" s="4">
        <f>J125-L125</f>
        <v/>
      </c>
      <c r="N125" s="3" t="n"/>
      <c r="O125" s="4">
        <f>M125-N125</f>
        <v/>
      </c>
      <c r="P125" s="6">
        <f>O125*1.18</f>
        <v/>
      </c>
    </row>
    <row r="126">
      <c r="A126" s="2" t="n">
        <v>7577184</v>
      </c>
      <c r="B126" s="2" t="inlineStr">
        <is>
          <t>SERVO PREMIUM CF-4 15W-40-20X1L-HDPE</t>
        </is>
      </c>
      <c r="C126" s="3" t="inlineStr">
        <is>
          <t>CAR</t>
        </is>
      </c>
      <c r="D126" s="3" t="n"/>
      <c r="E126" s="3" t="n">
        <v>20</v>
      </c>
      <c r="F126" s="3" t="n">
        <v>1</v>
      </c>
      <c r="G126" s="3">
        <f>E126/F126</f>
        <v/>
      </c>
      <c r="H126" s="3" t="n">
        <v>465</v>
      </c>
      <c r="I126" s="4" t="n">
        <v>361.026</v>
      </c>
      <c r="J126" s="4">
        <f>I126/1.18</f>
        <v/>
      </c>
      <c r="K126" s="5" t="n">
        <v>45</v>
      </c>
      <c r="L126" s="5">
        <f>(K126)*F126</f>
        <v/>
      </c>
      <c r="M126" s="4">
        <f>J126-L126</f>
        <v/>
      </c>
      <c r="N126" s="3" t="n"/>
      <c r="O126" s="4">
        <f>M126-N126</f>
        <v/>
      </c>
      <c r="P126" s="6">
        <f>O126*1.18</f>
        <v/>
      </c>
    </row>
    <row r="127">
      <c r="A127" s="2" t="n">
        <v>7577203</v>
      </c>
      <c r="B127" s="2" t="inlineStr">
        <is>
          <t>SERVO PREMIUM CF-4 15W-40-4X3L-HDPE</t>
        </is>
      </c>
      <c r="C127" s="3" t="inlineStr">
        <is>
          <t>CAR</t>
        </is>
      </c>
      <c r="D127" s="3" t="n"/>
      <c r="E127" s="3" t="n">
        <v>12</v>
      </c>
      <c r="F127" s="3" t="n">
        <v>3</v>
      </c>
      <c r="G127" s="3">
        <f>E127/F127</f>
        <v/>
      </c>
      <c r="H127" s="3" t="n">
        <v>1392</v>
      </c>
      <c r="I127" s="4" t="n">
        <v>1075.32</v>
      </c>
      <c r="J127" s="4">
        <f>I127/1.18</f>
        <v/>
      </c>
      <c r="K127" s="5" t="n">
        <v>55</v>
      </c>
      <c r="L127" s="5">
        <f>(K127)*F127</f>
        <v/>
      </c>
      <c r="M127" s="4">
        <f>J127-L127</f>
        <v/>
      </c>
      <c r="N127" s="3" t="n"/>
      <c r="O127" s="4">
        <f>M127-N127</f>
        <v/>
      </c>
      <c r="P127" s="6">
        <f>O127*1.18</f>
        <v/>
      </c>
    </row>
    <row r="128">
      <c r="A128" s="2" t="n">
        <v>7577234</v>
      </c>
      <c r="B128" s="2" t="inlineStr">
        <is>
          <t>SERVO PREMIUM CF-4 15W-40-4X5L-HDPE</t>
        </is>
      </c>
      <c r="C128" s="3" t="inlineStr">
        <is>
          <t>CAR</t>
        </is>
      </c>
      <c r="D128" s="3" t="n"/>
      <c r="E128" s="3" t="n">
        <v>20</v>
      </c>
      <c r="F128" s="3" t="n">
        <v>5</v>
      </c>
      <c r="G128" s="3">
        <f>E128/F128</f>
        <v/>
      </c>
      <c r="H128" s="3" t="n">
        <v>2261</v>
      </c>
      <c r="I128" s="4" t="n">
        <v>1758.6058</v>
      </c>
      <c r="J128" s="4">
        <f>I128/1.18</f>
        <v/>
      </c>
      <c r="K128" s="5" t="n">
        <v>65</v>
      </c>
      <c r="L128" s="5">
        <f>(K128)*F128</f>
        <v/>
      </c>
      <c r="M128" s="4">
        <f>J128-L128</f>
        <v/>
      </c>
      <c r="N128" s="3" t="n"/>
      <c r="O128" s="4">
        <f>M128-N128</f>
        <v/>
      </c>
      <c r="P128" s="6">
        <f>O128*1.18</f>
        <v/>
      </c>
    </row>
    <row r="129">
      <c r="A129" s="2" t="n">
        <v>7577240</v>
      </c>
      <c r="B129" s="2" t="inlineStr">
        <is>
          <t>SERVO PREMIUM CF-4 15W-40-4x5L - PROMO</t>
        </is>
      </c>
      <c r="C129" s="3" t="inlineStr">
        <is>
          <t>CAR</t>
        </is>
      </c>
      <c r="D129" s="3" t="n"/>
      <c r="E129" s="3" t="n">
        <v>20</v>
      </c>
      <c r="F129" s="3" t="n">
        <v>5</v>
      </c>
      <c r="G129" s="3">
        <f>E129/F129</f>
        <v/>
      </c>
      <c r="H129" s="3" t="n">
        <v>2261</v>
      </c>
      <c r="I129" s="4" t="n">
        <v>1758.6058</v>
      </c>
      <c r="J129" s="4">
        <f>I129/1.18</f>
        <v/>
      </c>
      <c r="K129" s="5" t="n">
        <v>65</v>
      </c>
      <c r="L129" s="5">
        <f>(K129)*F129</f>
        <v/>
      </c>
      <c r="M129" s="4">
        <f>J129-L129</f>
        <v/>
      </c>
      <c r="N129" s="3" t="n"/>
      <c r="O129" s="4">
        <f>M129-N129</f>
        <v/>
      </c>
      <c r="P129" s="6">
        <f>O129*1.18</f>
        <v/>
      </c>
    </row>
    <row r="130">
      <c r="A130" s="2" t="n">
        <v>7577242</v>
      </c>
      <c r="B130" s="2" t="inlineStr">
        <is>
          <t>SERVO PREMIUM CF-4 15W-40-10L BUC</t>
        </is>
      </c>
      <c r="C130" s="3" t="inlineStr">
        <is>
          <t>BUC</t>
        </is>
      </c>
      <c r="D130" s="3" t="n"/>
      <c r="E130" s="3" t="n">
        <v>10</v>
      </c>
      <c r="F130" s="3" t="n">
        <v>10</v>
      </c>
      <c r="G130" s="3">
        <f>E130/F130</f>
        <v/>
      </c>
      <c r="H130" s="3" t="n">
        <v>4461</v>
      </c>
      <c r="I130" s="4" t="n">
        <v>3491.178600000001</v>
      </c>
      <c r="J130" s="4">
        <f>I130/1.18</f>
        <v/>
      </c>
      <c r="K130" s="5" t="n">
        <v>65</v>
      </c>
      <c r="L130" s="5">
        <f>(K130)*F130</f>
        <v/>
      </c>
      <c r="M130" s="4">
        <f>J130-L130</f>
        <v/>
      </c>
      <c r="N130" s="3" t="n"/>
      <c r="O130" s="4">
        <f>M130-N130</f>
        <v/>
      </c>
      <c r="P130" s="6">
        <f>O130*1.18</f>
        <v/>
      </c>
    </row>
    <row r="131">
      <c r="A131" s="2" t="n">
        <v>7577251</v>
      </c>
      <c r="B131" s="2" t="inlineStr">
        <is>
          <t>SERVO PREMIUM CF-4 15W-40-7.5 L</t>
        </is>
      </c>
      <c r="C131" s="3" t="inlineStr">
        <is>
          <t>BUC</t>
        </is>
      </c>
      <c r="D131" s="3" t="n"/>
      <c r="E131" s="3" t="n">
        <v>7.5</v>
      </c>
      <c r="F131" s="3" t="n">
        <v>7.5</v>
      </c>
      <c r="G131" s="3">
        <f>E131/F131</f>
        <v/>
      </c>
      <c r="H131" s="3" t="n">
        <v>3364</v>
      </c>
      <c r="I131" s="4" t="n">
        <v>2630.9844</v>
      </c>
      <c r="J131" s="4">
        <f>I131/1.18</f>
        <v/>
      </c>
      <c r="K131" s="5" t="n">
        <v>65</v>
      </c>
      <c r="L131" s="5">
        <f>(K131)*F131</f>
        <v/>
      </c>
      <c r="M131" s="4">
        <f>J131-L131</f>
        <v/>
      </c>
      <c r="N131" s="3" t="n"/>
      <c r="O131" s="4">
        <f>M131-N131</f>
        <v/>
      </c>
      <c r="P131" s="6">
        <f>O131*1.18</f>
        <v/>
      </c>
    </row>
    <row r="132">
      <c r="A132" s="2" t="n">
        <v>7577256</v>
      </c>
      <c r="B132" s="2" t="inlineStr">
        <is>
          <t>SERVO PREMIUM CF-4 15W-40-15 L</t>
        </is>
      </c>
      <c r="C132" s="3" t="inlineStr">
        <is>
          <t>BUC</t>
        </is>
      </c>
      <c r="D132" s="3" t="n"/>
      <c r="E132" s="3" t="n">
        <v>15</v>
      </c>
      <c r="F132" s="3" t="n">
        <v>15</v>
      </c>
      <c r="G132" s="3">
        <f>E132/F132</f>
        <v/>
      </c>
      <c r="H132" s="3" t="n">
        <v>6653</v>
      </c>
      <c r="I132" s="4" t="n">
        <v>5196.6583</v>
      </c>
      <c r="J132" s="4">
        <f>I132/1.18</f>
        <v/>
      </c>
      <c r="K132" s="5" t="n">
        <v>65</v>
      </c>
      <c r="L132" s="5">
        <f>(K132)*F132</f>
        <v/>
      </c>
      <c r="M132" s="4">
        <f>J132-L132</f>
        <v/>
      </c>
      <c r="N132" s="3" t="n"/>
      <c r="O132" s="4">
        <f>M132-N132</f>
        <v/>
      </c>
      <c r="P132" s="6">
        <f>O132*1.18</f>
        <v/>
      </c>
    </row>
    <row r="133">
      <c r="A133" s="2" t="n">
        <v>7577265</v>
      </c>
      <c r="B133" s="2" t="inlineStr">
        <is>
          <t>SERVO PREMIUM CF 4 15W 40-20L BUC</t>
        </is>
      </c>
      <c r="C133" s="3" t="inlineStr">
        <is>
          <t>BUC</t>
        </is>
      </c>
      <c r="D133" s="3" t="n"/>
      <c r="E133" s="3" t="n">
        <v>20</v>
      </c>
      <c r="F133" s="3" t="n">
        <v>20</v>
      </c>
      <c r="G133" s="3">
        <f>E133/F133</f>
        <v/>
      </c>
      <c r="H133" s="3" t="n">
        <v>8853</v>
      </c>
      <c r="I133" s="4" t="n">
        <v>6878.781</v>
      </c>
      <c r="J133" s="4">
        <f>I133/1.18</f>
        <v/>
      </c>
      <c r="K133" s="5" t="n">
        <v>65</v>
      </c>
      <c r="L133" s="5">
        <f>(K133)*F133</f>
        <v/>
      </c>
      <c r="M133" s="4">
        <f>J133-L133</f>
        <v/>
      </c>
      <c r="N133" s="3" t="n"/>
      <c r="O133" s="4">
        <f>M133-N133</f>
        <v/>
      </c>
      <c r="P133" s="6">
        <f>O133*1.18</f>
        <v/>
      </c>
    </row>
    <row r="134">
      <c r="A134" s="2" t="n">
        <v>7584165</v>
      </c>
      <c r="B134" s="2" t="inlineStr">
        <is>
          <t>SERVO KOOL PLUS - 20X1/4L-HDPE</t>
        </is>
      </c>
      <c r="C134" s="3" t="inlineStr">
        <is>
          <t>CAR</t>
        </is>
      </c>
      <c r="D134" s="3" t="n"/>
      <c r="E134" s="3" t="n">
        <v>5</v>
      </c>
      <c r="F134" s="3" t="n">
        <v>0.25</v>
      </c>
      <c r="G134" s="3">
        <f>E134/F134</f>
        <v/>
      </c>
      <c r="H134" s="3" t="n">
        <v>115.5</v>
      </c>
      <c r="I134" s="4" t="n">
        <v>90.57510000000001</v>
      </c>
      <c r="J134" s="4">
        <f>I134/1.18</f>
        <v/>
      </c>
      <c r="K134" s="5" t="n">
        <v>0</v>
      </c>
      <c r="L134" s="5">
        <f>(K134)*F134</f>
        <v/>
      </c>
      <c r="M134" s="4">
        <f>J134-L134</f>
        <v/>
      </c>
      <c r="N134" s="3" t="n"/>
      <c r="O134" s="4">
        <f>M134-N134</f>
        <v/>
      </c>
      <c r="P134" s="6">
        <f>O134*1.18</f>
        <v/>
      </c>
    </row>
    <row r="135">
      <c r="A135" s="2" t="n">
        <v>7584175</v>
      </c>
      <c r="B135" s="2" t="inlineStr">
        <is>
          <t>SERVO KOOL PLUS-20X1/2L-HDPE</t>
        </is>
      </c>
      <c r="C135" s="3" t="inlineStr">
        <is>
          <t>CAR</t>
        </is>
      </c>
      <c r="D135" s="3" t="n"/>
      <c r="E135" s="3" t="n">
        <v>10</v>
      </c>
      <c r="F135" s="3" t="n">
        <v>0.5</v>
      </c>
      <c r="G135" s="3">
        <f>E135/F135</f>
        <v/>
      </c>
      <c r="H135" s="3" t="n">
        <v>226</v>
      </c>
      <c r="I135" s="4" t="n">
        <v>181.1616</v>
      </c>
      <c r="J135" s="4">
        <f>I135/1.18</f>
        <v/>
      </c>
      <c r="K135" s="5" t="n">
        <v>0</v>
      </c>
      <c r="L135" s="5">
        <f>(K135)*F135</f>
        <v/>
      </c>
      <c r="M135" s="4">
        <f>J135-L135</f>
        <v/>
      </c>
      <c r="N135" s="3" t="n"/>
      <c r="O135" s="4">
        <f>M135-N135</f>
        <v/>
      </c>
      <c r="P135" s="6">
        <f>O135*1.18</f>
        <v/>
      </c>
    </row>
    <row r="136">
      <c r="A136" s="2" t="n">
        <v>7584184</v>
      </c>
      <c r="B136" s="2" t="inlineStr">
        <is>
          <t>SERVO KOOL PLUS-20X1L-HDPE</t>
        </is>
      </c>
      <c r="C136" s="3" t="inlineStr">
        <is>
          <t>CAR</t>
        </is>
      </c>
      <c r="D136" s="3" t="n"/>
      <c r="E136" s="3" t="n">
        <v>20</v>
      </c>
      <c r="F136" s="3" t="n">
        <v>1</v>
      </c>
      <c r="G136" s="3">
        <f>E136/F136</f>
        <v/>
      </c>
      <c r="H136" s="3" t="n">
        <v>415</v>
      </c>
      <c r="I136" s="4" t="n">
        <v>334.8220000000001</v>
      </c>
      <c r="J136" s="4">
        <f>I136/1.18</f>
        <v/>
      </c>
      <c r="K136" s="5" t="n">
        <v>0</v>
      </c>
      <c r="L136" s="5">
        <f>(K136)*F136</f>
        <v/>
      </c>
      <c r="M136" s="4">
        <f>J136-L136</f>
        <v/>
      </c>
      <c r="N136" s="3" t="n"/>
      <c r="O136" s="4">
        <f>M136-N136</f>
        <v/>
      </c>
      <c r="P136" s="6">
        <f>O136*1.18</f>
        <v/>
      </c>
    </row>
    <row r="137">
      <c r="A137" s="2" t="n">
        <v>7584185</v>
      </c>
      <c r="B137" s="2" t="inlineStr">
        <is>
          <t>SERVO KOOL PLUS-10X1L-HDPE</t>
        </is>
      </c>
      <c r="C137" s="3" t="inlineStr">
        <is>
          <t>CAR</t>
        </is>
      </c>
      <c r="D137" s="3" t="n"/>
      <c r="E137" s="3" t="n">
        <v>10</v>
      </c>
      <c r="F137" s="3" t="n">
        <v>1</v>
      </c>
      <c r="G137" s="3">
        <f>E137/F137</f>
        <v/>
      </c>
      <c r="H137" s="3" t="n">
        <v>415</v>
      </c>
      <c r="I137" s="4" t="n">
        <v>334.8220000000001</v>
      </c>
      <c r="J137" s="4">
        <f>I137/1.18</f>
        <v/>
      </c>
      <c r="K137" s="5" t="n">
        <v>0</v>
      </c>
      <c r="L137" s="5">
        <f>(K137)*F137</f>
        <v/>
      </c>
      <c r="M137" s="4">
        <f>J137-L137</f>
        <v/>
      </c>
      <c r="N137" s="3" t="n"/>
      <c r="O137" s="4">
        <f>M137-N137</f>
        <v/>
      </c>
      <c r="P137" s="6">
        <f>O137*1.18</f>
        <v/>
      </c>
    </row>
    <row r="138">
      <c r="A138" s="2" t="n">
        <v>7600184</v>
      </c>
      <c r="B138" s="2" t="inlineStr">
        <is>
          <t>MGO 20W-40 - 20 X 1 L</t>
        </is>
      </c>
      <c r="C138" s="3" t="inlineStr">
        <is>
          <t>CAR</t>
        </is>
      </c>
      <c r="D138" s="3" t="n"/>
      <c r="E138" s="3" t="n">
        <v>20</v>
      </c>
      <c r="F138" s="3" t="n">
        <v>1</v>
      </c>
      <c r="G138" s="3">
        <f>E138/F138</f>
        <v/>
      </c>
      <c r="H138" s="3" t="n">
        <v>399</v>
      </c>
      <c r="I138" s="4" t="n">
        <v>332.0079</v>
      </c>
      <c r="J138" s="4">
        <f>I138/1.18</f>
        <v/>
      </c>
      <c r="K138" s="5" t="n">
        <v>0</v>
      </c>
      <c r="L138" s="5">
        <f>(K138)*F138</f>
        <v/>
      </c>
      <c r="M138" s="4">
        <f>J138-L138</f>
        <v/>
      </c>
      <c r="N138" s="3" t="n"/>
      <c r="O138" s="4">
        <f>M138-N138</f>
        <v/>
      </c>
      <c r="P138" s="6">
        <f>O138*1.18</f>
        <v/>
      </c>
    </row>
    <row r="139">
      <c r="A139" s="2" t="n">
        <v>7600203</v>
      </c>
      <c r="B139" s="2" t="inlineStr">
        <is>
          <t>MGO 20W-40 - 4 X 3 L</t>
        </is>
      </c>
      <c r="C139" s="3" t="inlineStr">
        <is>
          <t>CAR</t>
        </is>
      </c>
      <c r="D139" s="3" t="n"/>
      <c r="E139" s="3" t="n">
        <v>12</v>
      </c>
      <c r="F139" s="3" t="n">
        <v>3</v>
      </c>
      <c r="G139" s="3">
        <f>E139/F139</f>
        <v/>
      </c>
      <c r="H139" s="3" t="n">
        <v>1197</v>
      </c>
      <c r="I139" s="4" t="n">
        <v>971.7246000000001</v>
      </c>
      <c r="J139" s="4">
        <f>I139/1.18</f>
        <v/>
      </c>
      <c r="K139" s="5" t="n">
        <v>10</v>
      </c>
      <c r="L139" s="5">
        <f>(K139)*F139</f>
        <v/>
      </c>
      <c r="M139" s="4">
        <f>J139-L139</f>
        <v/>
      </c>
      <c r="N139" s="3" t="n"/>
      <c r="O139" s="4">
        <f>M139-N139</f>
        <v/>
      </c>
      <c r="P139" s="6">
        <f>O139*1.18</f>
        <v/>
      </c>
    </row>
    <row r="140">
      <c r="A140" s="2" t="n">
        <v>7607184</v>
      </c>
      <c r="B140" s="2" t="inlineStr">
        <is>
          <t>SERVO KOOL READY-20X1L-HDPE</t>
        </is>
      </c>
      <c r="C140" s="3" t="inlineStr">
        <is>
          <t>CAR</t>
        </is>
      </c>
      <c r="D140" s="3" t="n"/>
      <c r="E140" s="3" t="n">
        <v>20</v>
      </c>
      <c r="F140" s="3" t="n">
        <v>1</v>
      </c>
      <c r="G140" s="3">
        <f>E140/F140</f>
        <v/>
      </c>
      <c r="H140" s="3" t="n">
        <v>315</v>
      </c>
      <c r="I140" s="4" t="n">
        <v>254.835</v>
      </c>
      <c r="J140" s="4">
        <f>I140/1.18</f>
        <v/>
      </c>
      <c r="K140" s="5" t="n">
        <v>0</v>
      </c>
      <c r="L140" s="5">
        <f>(K140)*F140</f>
        <v/>
      </c>
      <c r="M140" s="4">
        <f>J140-L140</f>
        <v/>
      </c>
      <c r="N140" s="3" t="n"/>
      <c r="O140" s="4">
        <f>M140-N140</f>
        <v/>
      </c>
      <c r="P140" s="6">
        <f>O140*1.18</f>
        <v/>
      </c>
    </row>
    <row r="141">
      <c r="A141" s="2" t="n">
        <v>7607185</v>
      </c>
      <c r="B141" s="2" t="inlineStr">
        <is>
          <t>SERVO KOOL READY-10X1L-HDPE</t>
        </is>
      </c>
      <c r="C141" s="3" t="inlineStr">
        <is>
          <t>CAR</t>
        </is>
      </c>
      <c r="D141" s="3" t="n"/>
      <c r="E141" s="3" t="n">
        <v>10</v>
      </c>
      <c r="F141" s="3" t="n">
        <v>1</v>
      </c>
      <c r="G141" s="3">
        <f>E141/F141</f>
        <v/>
      </c>
      <c r="H141" s="3" t="n">
        <v>315</v>
      </c>
      <c r="I141" s="4" t="n">
        <v>254.835</v>
      </c>
      <c r="J141" s="4">
        <f>I141/1.18</f>
        <v/>
      </c>
      <c r="K141" s="5" t="n">
        <v>0</v>
      </c>
      <c r="L141" s="5">
        <f>(K141)*F141</f>
        <v/>
      </c>
      <c r="M141" s="4">
        <f>J141-L141</f>
        <v/>
      </c>
      <c r="N141" s="3" t="n"/>
      <c r="O141" s="4">
        <f>M141-N141</f>
        <v/>
      </c>
      <c r="P141" s="6">
        <f>O141*1.18</f>
        <v/>
      </c>
    </row>
    <row r="142">
      <c r="A142" s="2" t="n">
        <v>7638234</v>
      </c>
      <c r="B142" s="2" t="inlineStr">
        <is>
          <t>HYUNDAI SERVO CRDi PREM.ENG.OIL 4X5L-HDP</t>
        </is>
      </c>
      <c r="C142" s="3" t="inlineStr">
        <is>
          <t>CAR</t>
        </is>
      </c>
      <c r="D142" s="3" t="n"/>
      <c r="E142" s="3" t="n">
        <v>20</v>
      </c>
      <c r="F142" s="3" t="n">
        <v>5</v>
      </c>
      <c r="G142" s="3">
        <f>E142/F142</f>
        <v/>
      </c>
      <c r="H142" s="3" t="n">
        <v>2375</v>
      </c>
      <c r="I142" s="4" t="n">
        <v>1985.2625</v>
      </c>
      <c r="J142" s="4">
        <f>I142/1.18</f>
        <v/>
      </c>
      <c r="K142" s="5" t="n">
        <v>9</v>
      </c>
      <c r="L142" s="5">
        <f>(K142)*F142</f>
        <v/>
      </c>
      <c r="M142" s="4">
        <f>J142-L142</f>
        <v/>
      </c>
      <c r="N142" s="3" t="n"/>
      <c r="O142" s="4">
        <f>M142-N142</f>
        <v/>
      </c>
      <c r="P142" s="6">
        <f>O142*1.18</f>
        <v/>
      </c>
    </row>
    <row r="143">
      <c r="A143" s="2" t="n">
        <v>7670184</v>
      </c>
      <c r="B143" s="2" t="inlineStr">
        <is>
          <t>MGDO 15W-40 - 20 X 1 L</t>
        </is>
      </c>
      <c r="C143" s="3" t="inlineStr">
        <is>
          <t>CAR</t>
        </is>
      </c>
      <c r="D143" s="3" t="n"/>
      <c r="E143" s="3" t="n">
        <v>20</v>
      </c>
      <c r="F143" s="3" t="n">
        <v>1</v>
      </c>
      <c r="G143" s="3">
        <f>E143/F143</f>
        <v/>
      </c>
      <c r="H143" s="3" t="n">
        <v>407</v>
      </c>
      <c r="I143" s="4" t="n">
        <v>357.1425</v>
      </c>
      <c r="J143" s="4">
        <f>I143/1.18</f>
        <v/>
      </c>
      <c r="K143" s="5" t="n">
        <v>0</v>
      </c>
      <c r="L143" s="5">
        <f>(K143)*F143</f>
        <v/>
      </c>
      <c r="M143" s="4">
        <f>J143-L143</f>
        <v/>
      </c>
      <c r="N143" s="3" t="n"/>
      <c r="O143" s="4">
        <f>M143-N143</f>
        <v/>
      </c>
      <c r="P143" s="6">
        <f>O143*1.18</f>
        <v/>
      </c>
    </row>
    <row r="144">
      <c r="A144" s="2" t="n">
        <v>7670213</v>
      </c>
      <c r="B144" s="2" t="inlineStr">
        <is>
          <t>MGDO 15W-40 - 4 X 3.5 L</t>
        </is>
      </c>
      <c r="C144" s="3" t="inlineStr">
        <is>
          <t>CAR</t>
        </is>
      </c>
      <c r="D144" s="3" t="n"/>
      <c r="E144" s="3" t="n">
        <v>14</v>
      </c>
      <c r="F144" s="3" t="n">
        <v>3.5</v>
      </c>
      <c r="G144" s="3">
        <f>E144/F144</f>
        <v/>
      </c>
      <c r="H144" s="3" t="n">
        <v>1425</v>
      </c>
      <c r="I144" s="4" t="n">
        <v>1186.17</v>
      </c>
      <c r="J144" s="4">
        <f>I144/1.18</f>
        <v/>
      </c>
      <c r="K144" s="5" t="n">
        <v>0</v>
      </c>
      <c r="L144" s="5">
        <f>(K144)*F144</f>
        <v/>
      </c>
      <c r="M144" s="4">
        <f>J144-L144</f>
        <v/>
      </c>
      <c r="N144" s="3" t="n"/>
      <c r="O144" s="4">
        <f>M144-N144</f>
        <v/>
      </c>
      <c r="P144" s="6">
        <f>O144*1.18</f>
        <v/>
      </c>
    </row>
    <row r="145">
      <c r="A145" s="2" t="n">
        <v>7670234</v>
      </c>
      <c r="B145" s="2" t="inlineStr">
        <is>
          <t>MGDO 15W-40 - 4 X 5 L</t>
        </is>
      </c>
      <c r="C145" s="3" t="inlineStr">
        <is>
          <t>CAR</t>
        </is>
      </c>
      <c r="D145" s="3" t="n"/>
      <c r="E145" s="3" t="n">
        <v>20</v>
      </c>
      <c r="F145" s="3" t="n">
        <v>5</v>
      </c>
      <c r="G145" s="3">
        <f>E145/F145</f>
        <v/>
      </c>
      <c r="H145" s="3" t="n">
        <v>2035</v>
      </c>
      <c r="I145" s="4" t="n">
        <v>1689.6605</v>
      </c>
      <c r="J145" s="4">
        <f>I145/1.18</f>
        <v/>
      </c>
      <c r="K145" s="5" t="n">
        <v>10</v>
      </c>
      <c r="L145" s="5">
        <f>(K145)*F145</f>
        <v/>
      </c>
      <c r="M145" s="4">
        <f>J145-L145</f>
        <v/>
      </c>
      <c r="N145" s="3" t="n"/>
      <c r="O145" s="4">
        <f>M145-N145</f>
        <v/>
      </c>
      <c r="P145" s="6">
        <f>O145*1.18</f>
        <v/>
      </c>
    </row>
    <row r="146">
      <c r="A146" s="2" t="n">
        <v>7677184</v>
      </c>
      <c r="B146" s="2" t="inlineStr">
        <is>
          <t>SERVO PRIDE ALT PLUS 15W-40 -20 X 1 L</t>
        </is>
      </c>
      <c r="C146" s="3" t="inlineStr">
        <is>
          <t>CAR</t>
        </is>
      </c>
      <c r="D146" s="3" t="n"/>
      <c r="E146" s="3" t="n">
        <v>20</v>
      </c>
      <c r="F146" s="3" t="n">
        <v>1</v>
      </c>
      <c r="G146" s="3">
        <f>E146/F146</f>
        <v/>
      </c>
      <c r="H146" s="3" t="n">
        <v>465</v>
      </c>
      <c r="I146" s="4" t="n">
        <v>372</v>
      </c>
      <c r="J146" s="4">
        <f>I146/1.18</f>
        <v/>
      </c>
      <c r="K146" s="5" t="n">
        <v>40</v>
      </c>
      <c r="L146" s="5">
        <f>(K146)*F146</f>
        <v/>
      </c>
      <c r="M146" s="4">
        <f>J146-L146</f>
        <v/>
      </c>
      <c r="N146" s="3" t="n"/>
      <c r="O146" s="4">
        <f>M146-N146</f>
        <v/>
      </c>
      <c r="P146" s="6">
        <f>O146*1.18</f>
        <v/>
      </c>
    </row>
    <row r="147">
      <c r="A147" s="2" t="n">
        <v>7677241</v>
      </c>
      <c r="B147" s="2" t="inlineStr">
        <is>
          <t>SERVO PRIDE ALT PLUS 15W-40-10 L PROMO</t>
        </is>
      </c>
      <c r="C147" s="3" t="inlineStr">
        <is>
          <t>BUC</t>
        </is>
      </c>
      <c r="D147" s="3" t="n"/>
      <c r="E147" s="3" t="n">
        <v>10</v>
      </c>
      <c r="F147" s="3" t="n">
        <v>10</v>
      </c>
      <c r="G147" s="3">
        <f>E147/F147</f>
        <v/>
      </c>
      <c r="H147" s="3" t="n">
        <v>4550</v>
      </c>
      <c r="I147" s="4" t="n">
        <v>3640</v>
      </c>
      <c r="J147" s="4">
        <f>I147/1.18</f>
        <v/>
      </c>
      <c r="K147" s="5" t="n">
        <v>50</v>
      </c>
      <c r="L147" s="5">
        <f>(K147)*F147</f>
        <v/>
      </c>
      <c r="M147" s="4">
        <f>J147-L147</f>
        <v/>
      </c>
      <c r="N147" s="3" t="n"/>
      <c r="O147" s="4">
        <f>M147-N147</f>
        <v/>
      </c>
      <c r="P147" s="6">
        <f>O147*1.18</f>
        <v/>
      </c>
    </row>
    <row r="148">
      <c r="A148" s="2" t="n">
        <v>7677242</v>
      </c>
      <c r="B148" s="2" t="inlineStr">
        <is>
          <t>SERVO PRIDE ALT PLUS 15W-40 -10 L</t>
        </is>
      </c>
      <c r="C148" s="3" t="inlineStr">
        <is>
          <t>BUC</t>
        </is>
      </c>
      <c r="D148" s="3" t="n"/>
      <c r="E148" s="3" t="n">
        <v>10</v>
      </c>
      <c r="F148" s="3" t="n">
        <v>10</v>
      </c>
      <c r="G148" s="3">
        <f>E148/F148</f>
        <v/>
      </c>
      <c r="H148" s="3" t="n">
        <v>4550</v>
      </c>
      <c r="I148" s="4" t="n">
        <v>3640</v>
      </c>
      <c r="J148" s="4">
        <f>I148/1.18</f>
        <v/>
      </c>
      <c r="K148" s="5" t="n">
        <v>50</v>
      </c>
      <c r="L148" s="5">
        <f>(K148)*F148</f>
        <v/>
      </c>
      <c r="M148" s="4">
        <f>J148-L148</f>
        <v/>
      </c>
      <c r="N148" s="3" t="n"/>
      <c r="O148" s="4">
        <f>M148-N148</f>
        <v/>
      </c>
      <c r="P148" s="6">
        <f>O148*1.18</f>
        <v/>
      </c>
    </row>
    <row r="149">
      <c r="A149" s="2" t="n">
        <v>7677253</v>
      </c>
      <c r="B149" s="2" t="inlineStr">
        <is>
          <t>SERVO PRIDE ALT PLUS 15W-40-15 L PROMO</t>
        </is>
      </c>
      <c r="C149" s="3" t="inlineStr">
        <is>
          <t>BUC</t>
        </is>
      </c>
      <c r="D149" s="3" t="n"/>
      <c r="E149" s="3" t="n">
        <v>15</v>
      </c>
      <c r="F149" s="3" t="n">
        <v>15</v>
      </c>
      <c r="G149" s="3">
        <f>E149/F149</f>
        <v/>
      </c>
      <c r="H149" s="3" t="n">
        <v>6750</v>
      </c>
      <c r="I149" s="4" t="n">
        <v>5400</v>
      </c>
      <c r="J149" s="4">
        <f>I149/1.18</f>
        <v/>
      </c>
      <c r="K149" s="5" t="n">
        <v>50</v>
      </c>
      <c r="L149" s="5">
        <f>(K149)*F149</f>
        <v/>
      </c>
      <c r="M149" s="4">
        <f>J149-L149</f>
        <v/>
      </c>
      <c r="N149" s="3" t="n"/>
      <c r="O149" s="4">
        <f>M149-N149</f>
        <v/>
      </c>
      <c r="P149" s="6">
        <f>O149*1.18</f>
        <v/>
      </c>
    </row>
    <row r="150">
      <c r="A150" s="2" t="n">
        <v>7677254</v>
      </c>
      <c r="B150" s="2" t="inlineStr">
        <is>
          <t>SERVO PRIDE ALT PLUS 15W-40-18 L</t>
        </is>
      </c>
      <c r="C150" s="3" t="inlineStr">
        <is>
          <t>BUC</t>
        </is>
      </c>
      <c r="D150" s="3" t="n"/>
      <c r="E150" s="3" t="n">
        <v>18</v>
      </c>
      <c r="F150" s="3" t="n">
        <v>18</v>
      </c>
      <c r="G150" s="3">
        <f>E150/F150</f>
        <v/>
      </c>
      <c r="H150" s="3" t="n">
        <v>8010</v>
      </c>
      <c r="I150" s="4" t="n">
        <v>6408</v>
      </c>
      <c r="J150" s="4">
        <f>I150/1.18</f>
        <v/>
      </c>
      <c r="K150" s="5" t="n">
        <v>50</v>
      </c>
      <c r="L150" s="5">
        <f>(K150)*F150</f>
        <v/>
      </c>
      <c r="M150" s="4">
        <f>J150-L150</f>
        <v/>
      </c>
      <c r="N150" s="3" t="n"/>
      <c r="O150" s="4">
        <f>M150-N150</f>
        <v/>
      </c>
      <c r="P150" s="6">
        <f>O150*1.18</f>
        <v/>
      </c>
    </row>
    <row r="151">
      <c r="A151" s="2" t="n">
        <v>7677256</v>
      </c>
      <c r="B151" s="2" t="inlineStr">
        <is>
          <t>SERVO PRIDE ALT PLUS 15W-40 -15 L</t>
        </is>
      </c>
      <c r="C151" s="3" t="inlineStr">
        <is>
          <t>BUC</t>
        </is>
      </c>
      <c r="D151" s="3" t="n"/>
      <c r="E151" s="3" t="n">
        <v>15</v>
      </c>
      <c r="F151" s="3" t="n">
        <v>15</v>
      </c>
      <c r="G151" s="3">
        <f>E151/F151</f>
        <v/>
      </c>
      <c r="H151" s="3" t="n">
        <v>6750</v>
      </c>
      <c r="I151" s="4" t="n">
        <v>5400</v>
      </c>
      <c r="J151" s="4">
        <f>I151/1.18</f>
        <v/>
      </c>
      <c r="K151" s="5" t="n">
        <v>50</v>
      </c>
      <c r="L151" s="5">
        <f>(K151)*F151</f>
        <v/>
      </c>
      <c r="M151" s="4">
        <f>J151-L151</f>
        <v/>
      </c>
      <c r="N151" s="3" t="n"/>
      <c r="O151" s="4">
        <f>M151-N151</f>
        <v/>
      </c>
      <c r="P151" s="6">
        <f>O151*1.18</f>
        <v/>
      </c>
    </row>
    <row r="152">
      <c r="A152" s="2" t="n">
        <v>7688203</v>
      </c>
      <c r="B152" s="2" t="inlineStr">
        <is>
          <t>MGO 5W-30-4 X 3 L</t>
        </is>
      </c>
      <c r="C152" s="3" t="inlineStr">
        <is>
          <t>CAR</t>
        </is>
      </c>
      <c r="D152" s="3" t="n"/>
      <c r="E152" s="3" t="n">
        <v>12</v>
      </c>
      <c r="F152" s="3" t="n">
        <v>3</v>
      </c>
      <c r="G152" s="3">
        <f>E152/F152</f>
        <v/>
      </c>
      <c r="H152" s="3" t="n">
        <v>1257</v>
      </c>
      <c r="I152" s="4" t="n">
        <v>1118.73</v>
      </c>
      <c r="J152" s="4">
        <f>I152/1.18</f>
        <v/>
      </c>
      <c r="K152" s="5" t="n">
        <v>10</v>
      </c>
      <c r="L152" s="5">
        <f>(K152)*F152</f>
        <v/>
      </c>
      <c r="M152" s="4">
        <f>J152-L152</f>
        <v/>
      </c>
      <c r="N152" s="3" t="n"/>
      <c r="O152" s="4">
        <f>M152-N152</f>
        <v/>
      </c>
      <c r="P152" s="6">
        <f>O152*1.18</f>
        <v/>
      </c>
    </row>
    <row r="153">
      <c r="A153" s="2" t="n">
        <v>7688213</v>
      </c>
      <c r="B153" s="2" t="inlineStr">
        <is>
          <t>MGO 5W-30-4x3.5L HDPE</t>
        </is>
      </c>
      <c r="C153" s="3" t="inlineStr">
        <is>
          <t>CAR</t>
        </is>
      </c>
      <c r="D153" s="3" t="n"/>
      <c r="E153" s="3" t="n">
        <v>14</v>
      </c>
      <c r="F153" s="3" t="n">
        <v>3.5</v>
      </c>
      <c r="G153" s="3">
        <f>E153/F153</f>
        <v/>
      </c>
      <c r="H153" s="3" t="n">
        <v>1467</v>
      </c>
      <c r="I153" s="4" t="n">
        <v>1305.63</v>
      </c>
      <c r="J153" s="4">
        <f>I153/1.18</f>
        <v/>
      </c>
      <c r="K153" s="5" t="n">
        <v>10</v>
      </c>
      <c r="L153" s="5">
        <f>(K153)*F153</f>
        <v/>
      </c>
      <c r="M153" s="4">
        <f>J153-L153</f>
        <v/>
      </c>
      <c r="N153" s="3" t="n"/>
      <c r="O153" s="4">
        <f>M153-N153</f>
        <v/>
      </c>
      <c r="P153" s="6">
        <f>O153*1.18</f>
        <v/>
      </c>
    </row>
    <row r="154">
      <c r="A154" s="2" t="n">
        <v>7701341</v>
      </c>
      <c r="B154" s="2" t="inlineStr">
        <is>
          <t>SERVO GREASE MP-20 KG BUC</t>
        </is>
      </c>
      <c r="C154" s="3" t="inlineStr">
        <is>
          <t>BUC</t>
        </is>
      </c>
      <c r="D154" s="3" t="inlineStr">
        <is>
          <t>Grease</t>
        </is>
      </c>
      <c r="E154" s="3" t="n">
        <v>20</v>
      </c>
      <c r="F154" s="3" t="n">
        <v>20</v>
      </c>
      <c r="G154" s="3">
        <f>E154/F154</f>
        <v/>
      </c>
      <c r="H154" s="3" t="n">
        <v>9954</v>
      </c>
      <c r="I154" s="4" t="n">
        <v>8188.160400000001</v>
      </c>
      <c r="J154" s="4">
        <f>I154/1.18</f>
        <v/>
      </c>
      <c r="K154" s="5" t="n">
        <v>60</v>
      </c>
      <c r="L154" s="5">
        <f>(K154)*F154</f>
        <v/>
      </c>
      <c r="M154" s="4">
        <f>J154-L154</f>
        <v/>
      </c>
      <c r="N154" s="3" t="n"/>
      <c r="O154" s="4">
        <f>M154-N154</f>
        <v/>
      </c>
      <c r="P154" s="6">
        <f>O154*1.18</f>
        <v/>
      </c>
    </row>
    <row r="155">
      <c r="A155" s="2" t="n">
        <v>7705303</v>
      </c>
      <c r="B155" s="2" t="inlineStr">
        <is>
          <t>SERVO GREASE MP 3 - 20 X 1/2 KG CTN</t>
        </is>
      </c>
      <c r="C155" s="3" t="inlineStr">
        <is>
          <t>CAR</t>
        </is>
      </c>
      <c r="D155" s="3" t="inlineStr">
        <is>
          <t>Grease</t>
        </is>
      </c>
      <c r="E155" s="3" t="n">
        <v>10</v>
      </c>
      <c r="F155" s="3" t="n">
        <v>0.5</v>
      </c>
      <c r="G155" s="3">
        <f>E155/F155</f>
        <v/>
      </c>
      <c r="H155" s="3" t="n">
        <v>310</v>
      </c>
      <c r="I155" s="4" t="n">
        <v>232.469</v>
      </c>
      <c r="J155" s="4">
        <f>I155/1.18</f>
        <v/>
      </c>
      <c r="K155" s="5" t="n">
        <v>50</v>
      </c>
      <c r="L155" s="5">
        <f>(K155)*F155</f>
        <v/>
      </c>
      <c r="M155" s="4">
        <f>J155-L155</f>
        <v/>
      </c>
      <c r="N155" s="3" t="n"/>
      <c r="O155" s="4">
        <f>M155-N155</f>
        <v/>
      </c>
      <c r="P155" s="6">
        <f>O155*1.18</f>
        <v/>
      </c>
    </row>
    <row r="156">
      <c r="A156" s="2" t="n">
        <v>7705308</v>
      </c>
      <c r="B156" s="2" t="inlineStr">
        <is>
          <t>SERVOGREASE MP 3-60X200 GM CAR</t>
        </is>
      </c>
      <c r="C156" s="3" t="inlineStr">
        <is>
          <t>CAR</t>
        </is>
      </c>
      <c r="D156" s="3" t="inlineStr">
        <is>
          <t>Grease</t>
        </is>
      </c>
      <c r="E156" s="3" t="n">
        <v>12</v>
      </c>
      <c r="F156" s="3" t="n">
        <v>0.2</v>
      </c>
      <c r="G156" s="3">
        <f>E156/F156</f>
        <v/>
      </c>
      <c r="H156" s="3" t="n">
        <v>138</v>
      </c>
      <c r="I156" s="4" t="n">
        <v>104.19</v>
      </c>
      <c r="J156" s="4">
        <f>I156/1.18</f>
        <v/>
      </c>
      <c r="K156" s="5" t="n">
        <v>50</v>
      </c>
      <c r="L156" s="5">
        <f>(K156)*F156</f>
        <v/>
      </c>
      <c r="M156" s="4">
        <f>J156-L156</f>
        <v/>
      </c>
      <c r="N156" s="3" t="n"/>
      <c r="O156" s="4">
        <f>M156-N156</f>
        <v/>
      </c>
      <c r="P156" s="6">
        <f>O156*1.18</f>
        <v/>
      </c>
    </row>
    <row r="157">
      <c r="A157" s="2" t="n">
        <v>7705313</v>
      </c>
      <c r="B157" s="2" t="inlineStr">
        <is>
          <t>SERVO GREASE MP 3 - 10 X 1 KG CTN</t>
        </is>
      </c>
      <c r="C157" s="3" t="inlineStr">
        <is>
          <t>CAR</t>
        </is>
      </c>
      <c r="D157" s="3" t="inlineStr">
        <is>
          <t>Grease</t>
        </is>
      </c>
      <c r="E157" s="3" t="n">
        <v>10</v>
      </c>
      <c r="F157" s="3" t="n">
        <v>1</v>
      </c>
      <c r="G157" s="3">
        <f>E157/F157</f>
        <v/>
      </c>
      <c r="H157" s="3" t="n">
        <v>600</v>
      </c>
      <c r="I157" s="4" t="n">
        <v>458.28</v>
      </c>
      <c r="J157" s="4">
        <f>I157/1.18</f>
        <v/>
      </c>
      <c r="K157" s="5" t="n">
        <v>55</v>
      </c>
      <c r="L157" s="5">
        <f>(K157)*F157</f>
        <v/>
      </c>
      <c r="M157" s="4">
        <f>J157-L157</f>
        <v/>
      </c>
      <c r="N157" s="3" t="n"/>
      <c r="O157" s="4">
        <f>M157-N157</f>
        <v/>
      </c>
      <c r="P157" s="6">
        <f>O157*1.18</f>
        <v/>
      </c>
    </row>
    <row r="158">
      <c r="A158" s="2" t="n">
        <v>7705327</v>
      </c>
      <c r="B158" s="2" t="inlineStr">
        <is>
          <t>SERVOGREASE MP 3-6X2 KG</t>
        </is>
      </c>
      <c r="C158" s="3" t="inlineStr">
        <is>
          <t>CAR</t>
        </is>
      </c>
      <c r="D158" s="3" t="inlineStr">
        <is>
          <t>Grease</t>
        </is>
      </c>
      <c r="E158" s="3" t="n">
        <v>12</v>
      </c>
      <c r="F158" s="3" t="n">
        <v>2</v>
      </c>
      <c r="G158" s="3">
        <f>E158/F158</f>
        <v/>
      </c>
      <c r="H158" s="3" t="n">
        <v>1126</v>
      </c>
      <c r="I158" s="4" t="n">
        <v>902.0386</v>
      </c>
      <c r="J158" s="4">
        <f>I158/1.18</f>
        <v/>
      </c>
      <c r="K158" s="5" t="n">
        <v>60</v>
      </c>
      <c r="L158" s="5">
        <f>(K158)*F158</f>
        <v/>
      </c>
      <c r="M158" s="4">
        <f>J158-L158</f>
        <v/>
      </c>
      <c r="N158" s="3" t="n"/>
      <c r="O158" s="4">
        <f>M158-N158</f>
        <v/>
      </c>
      <c r="P158" s="6">
        <f>O158*1.18</f>
        <v/>
      </c>
    </row>
    <row r="159">
      <c r="A159" s="2" t="n">
        <v>7705337</v>
      </c>
      <c r="B159" s="2" t="inlineStr">
        <is>
          <t>SERVOGREASE MP 3-4X3 KG</t>
        </is>
      </c>
      <c r="C159" s="3" t="inlineStr">
        <is>
          <t>CAR</t>
        </is>
      </c>
      <c r="D159" s="3" t="inlineStr">
        <is>
          <t>Grease</t>
        </is>
      </c>
      <c r="E159" s="3" t="n">
        <v>12</v>
      </c>
      <c r="F159" s="3" t="n">
        <v>3</v>
      </c>
      <c r="G159" s="3">
        <f>E159/F159</f>
        <v/>
      </c>
      <c r="H159" s="3" t="n">
        <v>1656</v>
      </c>
      <c r="I159" s="4" t="n">
        <v>1336.392</v>
      </c>
      <c r="J159" s="4">
        <f>I159/1.18</f>
        <v/>
      </c>
      <c r="K159" s="5" t="n">
        <v>60</v>
      </c>
      <c r="L159" s="5">
        <f>(K159)*F159</f>
        <v/>
      </c>
      <c r="M159" s="4">
        <f>J159-L159</f>
        <v/>
      </c>
      <c r="N159" s="3" t="n"/>
      <c r="O159" s="4">
        <f>M159-N159</f>
        <v/>
      </c>
      <c r="P159" s="6">
        <f>O159*1.18</f>
        <v/>
      </c>
    </row>
    <row r="160">
      <c r="A160" s="2" t="n">
        <v>7705339</v>
      </c>
      <c r="B160" s="2" t="inlineStr">
        <is>
          <t>SERVOGREASE MP 3 - 5 KG BUC</t>
        </is>
      </c>
      <c r="C160" s="3" t="inlineStr">
        <is>
          <t>BUC</t>
        </is>
      </c>
      <c r="D160" s="3" t="inlineStr">
        <is>
          <t>Grease</t>
        </is>
      </c>
      <c r="E160" s="3" t="n">
        <v>5</v>
      </c>
      <c r="F160" s="3" t="n">
        <v>5</v>
      </c>
      <c r="G160" s="3">
        <f>E160/F160</f>
        <v/>
      </c>
      <c r="H160" s="3" t="n">
        <v>2731</v>
      </c>
      <c r="I160" s="4" t="n">
        <v>2186.9848</v>
      </c>
      <c r="J160" s="4">
        <f>I160/1.18</f>
        <v/>
      </c>
      <c r="K160" s="5" t="n">
        <v>60</v>
      </c>
      <c r="L160" s="5">
        <f>(K160)*F160</f>
        <v/>
      </c>
      <c r="M160" s="4">
        <f>J160-L160</f>
        <v/>
      </c>
      <c r="N160" s="3" t="n"/>
      <c r="O160" s="4">
        <f>M160-N160</f>
        <v/>
      </c>
      <c r="P160" s="6">
        <f>O160*1.18</f>
        <v/>
      </c>
    </row>
    <row r="161">
      <c r="A161" s="2" t="n">
        <v>7705341</v>
      </c>
      <c r="B161" s="2" t="inlineStr">
        <is>
          <t>SERVOGREASE MP 3 -20 KG BUC</t>
        </is>
      </c>
      <c r="C161" s="3" t="inlineStr">
        <is>
          <t>BUC</t>
        </is>
      </c>
      <c r="D161" s="3" t="inlineStr">
        <is>
          <t>Grease</t>
        </is>
      </c>
      <c r="E161" s="3" t="n">
        <v>20</v>
      </c>
      <c r="F161" s="3" t="n">
        <v>20</v>
      </c>
      <c r="G161" s="3">
        <f>E161/F161</f>
        <v/>
      </c>
      <c r="H161" s="3" t="n">
        <v>10705</v>
      </c>
      <c r="I161" s="4" t="n">
        <v>8578.986999999999</v>
      </c>
      <c r="J161" s="4">
        <f>I161/1.18</f>
        <v/>
      </c>
      <c r="K161" s="5" t="n">
        <v>60</v>
      </c>
      <c r="L161" s="5">
        <f>(K161)*F161</f>
        <v/>
      </c>
      <c r="M161" s="4">
        <f>J161-L161</f>
        <v/>
      </c>
      <c r="N161" s="3" t="n"/>
      <c r="O161" s="4">
        <f>M161-N161</f>
        <v/>
      </c>
      <c r="P161" s="6">
        <f>O161*1.18</f>
        <v/>
      </c>
    </row>
    <row r="162">
      <c r="A162" s="2" t="n">
        <v>7722341</v>
      </c>
      <c r="B162" s="2" t="inlineStr">
        <is>
          <t>SERVOGEM 2-20 KG BUC</t>
        </is>
      </c>
      <c r="C162" s="3" t="inlineStr">
        <is>
          <t>BUC</t>
        </is>
      </c>
      <c r="D162" s="3" t="inlineStr">
        <is>
          <t>Grease</t>
        </is>
      </c>
      <c r="E162" s="3" t="n">
        <v>20</v>
      </c>
      <c r="F162" s="3" t="n">
        <v>20</v>
      </c>
      <c r="G162" s="3">
        <f>E162/F162</f>
        <v/>
      </c>
      <c r="H162" s="3" t="n">
        <v>9519</v>
      </c>
      <c r="I162" s="4" t="n">
        <v>8783.1813</v>
      </c>
      <c r="J162" s="4">
        <f>I162/1.18</f>
        <v/>
      </c>
      <c r="K162" s="5" t="n">
        <v>54</v>
      </c>
      <c r="L162" s="5">
        <f>(K162)*F162</f>
        <v/>
      </c>
      <c r="M162" s="4">
        <f>J162-L162</f>
        <v/>
      </c>
      <c r="N162" s="3" t="n"/>
      <c r="O162" s="4">
        <f>M162-N162</f>
        <v/>
      </c>
      <c r="P162" s="6">
        <f>O162*1.18</f>
        <v/>
      </c>
    </row>
    <row r="163">
      <c r="A163" s="2" t="n">
        <v>7723341</v>
      </c>
      <c r="B163" s="2" t="inlineStr">
        <is>
          <t>SERVOGEM 3-20 KG BUC</t>
        </is>
      </c>
      <c r="C163" s="3" t="inlineStr">
        <is>
          <t>BUC</t>
        </is>
      </c>
      <c r="D163" s="3" t="inlineStr">
        <is>
          <t>Grease</t>
        </is>
      </c>
      <c r="E163" s="3" t="n">
        <v>20</v>
      </c>
      <c r="F163" s="3" t="n">
        <v>20</v>
      </c>
      <c r="G163" s="3">
        <f>E163/F163</f>
        <v/>
      </c>
      <c r="H163" s="3" t="n">
        <v>9670</v>
      </c>
      <c r="I163" s="4" t="n">
        <v>8819.040000000001</v>
      </c>
      <c r="J163" s="4">
        <f>I163/1.18</f>
        <v/>
      </c>
      <c r="K163" s="5" t="n">
        <v>65</v>
      </c>
      <c r="L163" s="5">
        <f>(K163)*F163</f>
        <v/>
      </c>
      <c r="M163" s="4">
        <f>J163-L163</f>
        <v/>
      </c>
      <c r="N163" s="3" t="n"/>
      <c r="O163" s="4">
        <f>M163-N163</f>
        <v/>
      </c>
      <c r="P163" s="6">
        <f>O163*1.18</f>
        <v/>
      </c>
    </row>
    <row r="164">
      <c r="A164" s="2" t="n">
        <v>7727303</v>
      </c>
      <c r="B164" s="2" t="inlineStr">
        <is>
          <t>SERVO GEM RR 3 - 20 X 1/2 KG CTN</t>
        </is>
      </c>
      <c r="C164" s="3" t="inlineStr">
        <is>
          <t>CAR</t>
        </is>
      </c>
      <c r="D164" s="3" t="inlineStr">
        <is>
          <t>Grease</t>
        </is>
      </c>
      <c r="E164" s="3" t="n">
        <v>10</v>
      </c>
      <c r="F164" s="3" t="n">
        <v>0.5</v>
      </c>
      <c r="G164" s="3">
        <f>E164/F164</f>
        <v/>
      </c>
      <c r="H164" s="3" t="n">
        <v>334</v>
      </c>
      <c r="I164" s="4" t="n">
        <v>251.669</v>
      </c>
      <c r="J164" s="4">
        <f>I164/1.18</f>
        <v/>
      </c>
      <c r="K164" s="5" t="n">
        <v>55</v>
      </c>
      <c r="L164" s="5">
        <f>(K164)*F164</f>
        <v/>
      </c>
      <c r="M164" s="4">
        <f>J164-L164</f>
        <v/>
      </c>
      <c r="N164" s="3" t="n"/>
      <c r="O164" s="4">
        <f>M164-N164</f>
        <v/>
      </c>
      <c r="P164" s="6">
        <f>O164*1.18</f>
        <v/>
      </c>
    </row>
    <row r="165">
      <c r="A165" s="2" t="n">
        <v>7727313</v>
      </c>
      <c r="B165" s="2" t="inlineStr">
        <is>
          <t>SERVO GEM RR 3 - 10 X 1 KG CTN</t>
        </is>
      </c>
      <c r="C165" s="3" t="inlineStr">
        <is>
          <t>CAR</t>
        </is>
      </c>
      <c r="D165" s="3" t="inlineStr">
        <is>
          <t>Grease</t>
        </is>
      </c>
      <c r="E165" s="3" t="n">
        <v>10</v>
      </c>
      <c r="F165" s="3" t="n">
        <v>1</v>
      </c>
      <c r="G165" s="3">
        <f>E165/F165</f>
        <v/>
      </c>
      <c r="H165" s="3" t="n">
        <v>614</v>
      </c>
      <c r="I165" s="4" t="n">
        <v>480.455</v>
      </c>
      <c r="J165" s="4">
        <f>I165/1.18</f>
        <v/>
      </c>
      <c r="K165" s="5" t="n">
        <v>55</v>
      </c>
      <c r="L165" s="5">
        <f>(K165)*F165</f>
        <v/>
      </c>
      <c r="M165" s="4">
        <f>J165-L165</f>
        <v/>
      </c>
      <c r="N165" s="3" t="n"/>
      <c r="O165" s="4">
        <f>M165-N165</f>
        <v/>
      </c>
      <c r="P165" s="6">
        <f>O165*1.18</f>
        <v/>
      </c>
    </row>
    <row r="166">
      <c r="A166" s="2" t="n">
        <v>7727327</v>
      </c>
      <c r="B166" s="2" t="inlineStr">
        <is>
          <t>SERVO GEM RR 3-6X2 KG TUB</t>
        </is>
      </c>
      <c r="C166" s="3" t="inlineStr">
        <is>
          <t>CAR</t>
        </is>
      </c>
      <c r="D166" s="3" t="inlineStr">
        <is>
          <t>Grease</t>
        </is>
      </c>
      <c r="E166" s="3" t="n">
        <v>12</v>
      </c>
      <c r="F166" s="3" t="n">
        <v>2</v>
      </c>
      <c r="G166" s="3">
        <f>E166/F166</f>
        <v/>
      </c>
      <c r="H166" s="3" t="n">
        <v>1215</v>
      </c>
      <c r="I166" s="4" t="n">
        <v>941.9895</v>
      </c>
      <c r="J166" s="4">
        <f>I166/1.18</f>
        <v/>
      </c>
      <c r="K166" s="5" t="n">
        <v>55</v>
      </c>
      <c r="L166" s="5">
        <f>(K166)*F166</f>
        <v/>
      </c>
      <c r="M166" s="4">
        <f>J166-L166</f>
        <v/>
      </c>
      <c r="N166" s="3" t="n"/>
      <c r="O166" s="4">
        <f>M166-N166</f>
        <v/>
      </c>
      <c r="P166" s="6">
        <f>O166*1.18</f>
        <v/>
      </c>
    </row>
    <row r="167">
      <c r="A167" s="2" t="n">
        <v>7727337</v>
      </c>
      <c r="B167" s="2" t="inlineStr">
        <is>
          <t>SERVO GEM RR 3-4X3 KG</t>
        </is>
      </c>
      <c r="C167" s="3" t="inlineStr">
        <is>
          <t>CAR</t>
        </is>
      </c>
      <c r="D167" s="3" t="inlineStr">
        <is>
          <t>Grease</t>
        </is>
      </c>
      <c r="E167" s="3" t="n">
        <v>12</v>
      </c>
      <c r="F167" s="3" t="n">
        <v>3</v>
      </c>
      <c r="G167" s="3">
        <f>E167/F167</f>
        <v/>
      </c>
      <c r="H167" s="3" t="n">
        <v>1804</v>
      </c>
      <c r="I167" s="4" t="n">
        <v>1380.962</v>
      </c>
      <c r="J167" s="4">
        <f>I167/1.18</f>
        <v/>
      </c>
      <c r="K167" s="5" t="n">
        <v>55</v>
      </c>
      <c r="L167" s="5">
        <f>(K167)*F167</f>
        <v/>
      </c>
      <c r="M167" s="4">
        <f>J167-L167</f>
        <v/>
      </c>
      <c r="N167" s="3" t="n"/>
      <c r="O167" s="4">
        <f>M167-N167</f>
        <v/>
      </c>
      <c r="P167" s="6">
        <f>O167*1.18</f>
        <v/>
      </c>
    </row>
    <row r="168">
      <c r="A168" s="2" t="n">
        <v>7727341</v>
      </c>
      <c r="B168" s="2" t="inlineStr">
        <is>
          <t>SERVO GEM RR 3 - 20 KG. BUC</t>
        </is>
      </c>
      <c r="C168" s="3" t="inlineStr">
        <is>
          <t>BUC</t>
        </is>
      </c>
      <c r="D168" s="3" t="inlineStr">
        <is>
          <t>Grease</t>
        </is>
      </c>
      <c r="E168" s="3" t="n">
        <v>20</v>
      </c>
      <c r="F168" s="3" t="n">
        <v>20</v>
      </c>
      <c r="G168" s="3">
        <f>E168/F168</f>
        <v/>
      </c>
      <c r="H168" s="3" t="n">
        <v>10993</v>
      </c>
      <c r="I168" s="4" t="n">
        <v>9005.465600000001</v>
      </c>
      <c r="J168" s="4">
        <f>I168/1.18</f>
        <v/>
      </c>
      <c r="K168" s="5" t="n">
        <v>60</v>
      </c>
      <c r="L168" s="5">
        <f>(K168)*F168</f>
        <v/>
      </c>
      <c r="M168" s="4">
        <f>J168-L168</f>
        <v/>
      </c>
      <c r="N168" s="3" t="n"/>
      <c r="O168" s="4">
        <f>M168-N168</f>
        <v/>
      </c>
      <c r="P168" s="6">
        <f>O168*1.18</f>
        <v/>
      </c>
    </row>
    <row r="169">
      <c r="A169" s="2" t="n">
        <v>7727343</v>
      </c>
      <c r="B169" s="2" t="inlineStr">
        <is>
          <t>SERVO GEM RR 3-7 KG</t>
        </is>
      </c>
      <c r="C169" s="3" t="inlineStr">
        <is>
          <t>BUC</t>
        </is>
      </c>
      <c r="D169" s="3" t="inlineStr">
        <is>
          <t>Grease</t>
        </is>
      </c>
      <c r="E169" s="3" t="n">
        <v>7</v>
      </c>
      <c r="F169" s="3" t="n">
        <v>7</v>
      </c>
      <c r="G169" s="3">
        <f>E169/F169</f>
        <v/>
      </c>
      <c r="H169" s="3" t="n">
        <v>3966</v>
      </c>
      <c r="I169" s="4" t="n">
        <v>3194.613</v>
      </c>
      <c r="J169" s="4">
        <f>I169/1.18</f>
        <v/>
      </c>
      <c r="K169" s="5" t="n">
        <v>55</v>
      </c>
      <c r="L169" s="5">
        <f>(K169)*F169</f>
        <v/>
      </c>
      <c r="M169" s="4">
        <f>J169-L169</f>
        <v/>
      </c>
      <c r="N169" s="3" t="n"/>
      <c r="O169" s="4">
        <f>M169-N169</f>
        <v/>
      </c>
      <c r="P169" s="6">
        <f>O169*1.18</f>
        <v/>
      </c>
    </row>
    <row r="170">
      <c r="A170" s="2" t="n">
        <v>7742341</v>
      </c>
      <c r="B170" s="2" t="inlineStr">
        <is>
          <t>SERVOGEM EP 2-20 KG BUC</t>
        </is>
      </c>
      <c r="C170" s="3" t="inlineStr">
        <is>
          <t>BUC</t>
        </is>
      </c>
      <c r="D170" s="3" t="inlineStr">
        <is>
          <t>Grease</t>
        </is>
      </c>
      <c r="E170" s="3" t="n">
        <v>20</v>
      </c>
      <c r="F170" s="3" t="n">
        <v>20</v>
      </c>
      <c r="G170" s="3">
        <f>E170/F170</f>
        <v/>
      </c>
      <c r="H170" s="3" t="n">
        <v>11196</v>
      </c>
      <c r="I170" s="4" t="n">
        <v>8756.391599999999</v>
      </c>
      <c r="J170" s="4">
        <f>I170/1.18</f>
        <v/>
      </c>
      <c r="K170" s="5" t="n">
        <v>61</v>
      </c>
      <c r="L170" s="5">
        <f>(K170)*F170</f>
        <v/>
      </c>
      <c r="M170" s="4">
        <f>J170-L170</f>
        <v/>
      </c>
      <c r="N170" s="3" t="n"/>
      <c r="O170" s="4">
        <f>M170-N170</f>
        <v/>
      </c>
      <c r="P170" s="6">
        <f>O170*1.18</f>
        <v/>
      </c>
    </row>
    <row r="171">
      <c r="A171" s="2" t="n">
        <v>7744341</v>
      </c>
      <c r="B171" s="2" t="inlineStr">
        <is>
          <t>SERVOGEM HTXX-20 KG BUC</t>
        </is>
      </c>
      <c r="C171" s="3" t="inlineStr">
        <is>
          <t>BUC</t>
        </is>
      </c>
      <c r="D171" s="3" t="inlineStr">
        <is>
          <t>Grease</t>
        </is>
      </c>
      <c r="E171" s="3" t="n">
        <v>20</v>
      </c>
      <c r="F171" s="3" t="n">
        <v>20</v>
      </c>
      <c r="G171" s="3">
        <f>E171/F171</f>
        <v/>
      </c>
      <c r="H171" s="3" t="n">
        <v>9581</v>
      </c>
      <c r="I171" s="4" t="n">
        <v>8782.902700000001</v>
      </c>
      <c r="J171" s="4">
        <f>I171/1.18</f>
        <v/>
      </c>
      <c r="K171" s="5" t="n">
        <v>30</v>
      </c>
      <c r="L171" s="5">
        <f>(K171)*F171</f>
        <v/>
      </c>
      <c r="M171" s="4">
        <f>J171-L171</f>
        <v/>
      </c>
      <c r="N171" s="3" t="n"/>
      <c r="O171" s="4">
        <f>M171-N171</f>
        <v/>
      </c>
      <c r="P171" s="6">
        <f>O171*1.18</f>
        <v/>
      </c>
    </row>
    <row r="172">
      <c r="A172" s="2" t="n">
        <v>7849303</v>
      </c>
      <c r="B172" s="2" t="inlineStr">
        <is>
          <t>SERVO LONG LIFE GREASE-20 X 1/2 KG</t>
        </is>
      </c>
      <c r="C172" s="3" t="inlineStr">
        <is>
          <t>CAR</t>
        </is>
      </c>
      <c r="D172" s="3" t="inlineStr">
        <is>
          <t>Grease</t>
        </is>
      </c>
      <c r="E172" s="3" t="n">
        <v>10</v>
      </c>
      <c r="F172" s="3" t="n">
        <v>0.5</v>
      </c>
      <c r="G172" s="3">
        <f>E172/F172</f>
        <v/>
      </c>
      <c r="H172" s="3" t="n">
        <v>366</v>
      </c>
      <c r="I172" s="4" t="n">
        <v>249.0264</v>
      </c>
      <c r="J172" s="4">
        <f>I172/1.18</f>
        <v/>
      </c>
      <c r="K172" s="5" t="n">
        <v>55</v>
      </c>
      <c r="L172" s="5">
        <f>(K172)*F172</f>
        <v/>
      </c>
      <c r="M172" s="4">
        <f>J172-L172</f>
        <v/>
      </c>
      <c r="N172" s="3" t="n"/>
      <c r="O172" s="4">
        <f>M172-N172</f>
        <v/>
      </c>
      <c r="P172" s="6">
        <f>O172*1.18</f>
        <v/>
      </c>
    </row>
    <row r="173">
      <c r="A173" s="2" t="n">
        <v>7849313</v>
      </c>
      <c r="B173" s="2" t="inlineStr">
        <is>
          <t>SERVO LONG LIFE GREASE-10X1 KG TUB</t>
        </is>
      </c>
      <c r="C173" s="3" t="inlineStr">
        <is>
          <t>CAR</t>
        </is>
      </c>
      <c r="D173" s="3" t="inlineStr">
        <is>
          <t>Grease</t>
        </is>
      </c>
      <c r="E173" s="3" t="n">
        <v>10</v>
      </c>
      <c r="F173" s="3" t="n">
        <v>1</v>
      </c>
      <c r="G173" s="3">
        <f>E173/F173</f>
        <v/>
      </c>
      <c r="H173" s="3" t="n">
        <v>676</v>
      </c>
      <c r="I173" s="4" t="n">
        <v>486.5848</v>
      </c>
      <c r="J173" s="4">
        <f>I173/1.18</f>
        <v/>
      </c>
      <c r="K173" s="5" t="n">
        <v>55</v>
      </c>
      <c r="L173" s="5">
        <f>(K173)*F173</f>
        <v/>
      </c>
      <c r="M173" s="4">
        <f>J173-L173</f>
        <v/>
      </c>
      <c r="N173" s="3" t="n"/>
      <c r="O173" s="4">
        <f>M173-N173</f>
        <v/>
      </c>
      <c r="P173" s="6">
        <f>O173*1.18</f>
        <v/>
      </c>
    </row>
    <row r="174">
      <c r="A174" s="2" t="n">
        <v>7849327</v>
      </c>
      <c r="B174" s="2" t="inlineStr">
        <is>
          <t>SERVO LONG LIFE GREASE-6X2 KG TUB</t>
        </is>
      </c>
      <c r="C174" s="3" t="inlineStr">
        <is>
          <t>CAR</t>
        </is>
      </c>
      <c r="D174" s="3" t="inlineStr">
        <is>
          <t>Grease</t>
        </is>
      </c>
      <c r="E174" s="3" t="n">
        <v>12</v>
      </c>
      <c r="F174" s="3" t="n">
        <v>2</v>
      </c>
      <c r="G174" s="3">
        <f>E174/F174</f>
        <v/>
      </c>
      <c r="H174" s="3" t="n">
        <v>1376</v>
      </c>
      <c r="I174" s="4" t="n">
        <v>955.4944</v>
      </c>
      <c r="J174" s="4">
        <f>I174/1.18</f>
        <v/>
      </c>
      <c r="K174" s="5" t="n">
        <v>55</v>
      </c>
      <c r="L174" s="5">
        <f>(K174)*F174</f>
        <v/>
      </c>
      <c r="M174" s="4">
        <f>J174-L174</f>
        <v/>
      </c>
      <c r="N174" s="3" t="n"/>
      <c r="O174" s="4">
        <f>M174-N174</f>
        <v/>
      </c>
      <c r="P174" s="6">
        <f>O174*1.18</f>
        <v/>
      </c>
    </row>
    <row r="175">
      <c r="A175" s="2" t="n">
        <v>7849337</v>
      </c>
      <c r="B175" s="2" t="inlineStr">
        <is>
          <t>SERVO LONG LIFE GREASE-4X3 KG TUB</t>
        </is>
      </c>
      <c r="C175" s="3" t="inlineStr">
        <is>
          <t>CAR</t>
        </is>
      </c>
      <c r="D175" s="3" t="inlineStr">
        <is>
          <t>Grease</t>
        </is>
      </c>
      <c r="E175" s="3" t="n">
        <v>12</v>
      </c>
      <c r="F175" s="3" t="n">
        <v>3</v>
      </c>
      <c r="G175" s="3">
        <f>E175/F175</f>
        <v/>
      </c>
      <c r="H175" s="3" t="n">
        <v>2030</v>
      </c>
      <c r="I175" s="4" t="n">
        <v>1419.782</v>
      </c>
      <c r="J175" s="4">
        <f>I175/1.18</f>
        <v/>
      </c>
      <c r="K175" s="5" t="n">
        <v>55</v>
      </c>
      <c r="L175" s="5">
        <f>(K175)*F175</f>
        <v/>
      </c>
      <c r="M175" s="4">
        <f>J175-L175</f>
        <v/>
      </c>
      <c r="N175" s="3" t="n"/>
      <c r="O175" s="4">
        <f>M175-N175</f>
        <v/>
      </c>
      <c r="P175" s="6">
        <f>O175*1.18</f>
        <v/>
      </c>
    </row>
    <row r="176">
      <c r="A176" s="2" t="n">
        <v>7849339</v>
      </c>
      <c r="B176" s="2" t="inlineStr">
        <is>
          <t>SERVO LONG LIFE GREASE-5 KG</t>
        </is>
      </c>
      <c r="C176" s="3" t="inlineStr">
        <is>
          <t>BUC</t>
        </is>
      </c>
      <c r="D176" s="3" t="inlineStr">
        <is>
          <t>Grease</t>
        </is>
      </c>
      <c r="E176" s="3" t="n">
        <v>5</v>
      </c>
      <c r="F176" s="3" t="n">
        <v>5</v>
      </c>
      <c r="G176" s="3">
        <f>E176/F176</f>
        <v/>
      </c>
      <c r="H176" s="3" t="n">
        <v>3345</v>
      </c>
      <c r="I176" s="4" t="n">
        <v>2343.1725</v>
      </c>
      <c r="J176" s="4">
        <f>I176/1.18</f>
        <v/>
      </c>
      <c r="K176" s="5" t="n">
        <v>55</v>
      </c>
      <c r="L176" s="5">
        <f>(K176)*F176</f>
        <v/>
      </c>
      <c r="M176" s="4">
        <f>J176-L176</f>
        <v/>
      </c>
      <c r="N176" s="3" t="n"/>
      <c r="O176" s="4">
        <f>M176-N176</f>
        <v/>
      </c>
      <c r="P176" s="6">
        <f>O176*1.18</f>
        <v/>
      </c>
    </row>
    <row r="177">
      <c r="A177" s="2" t="n">
        <v>7849340</v>
      </c>
      <c r="B177" s="2" t="inlineStr">
        <is>
          <t>SERVO LONG LIFE GREASE-2 X 5 KG</t>
        </is>
      </c>
      <c r="C177" s="3" t="inlineStr">
        <is>
          <t>CAR</t>
        </is>
      </c>
      <c r="D177" s="3" t="inlineStr">
        <is>
          <t>Grease</t>
        </is>
      </c>
      <c r="E177" s="3" t="n">
        <v>10</v>
      </c>
      <c r="F177" s="3" t="n">
        <v>5</v>
      </c>
      <c r="G177" s="3">
        <f>E177/F177</f>
        <v/>
      </c>
      <c r="H177" s="3" t="n">
        <v>3345</v>
      </c>
      <c r="I177" s="4" t="n">
        <v>2343.1725</v>
      </c>
      <c r="J177" s="4">
        <f>I177/1.18</f>
        <v/>
      </c>
      <c r="K177" s="5" t="n">
        <v>0</v>
      </c>
      <c r="L177" s="5">
        <f>(K177)*F177</f>
        <v/>
      </c>
      <c r="M177" s="4">
        <f>J177-L177</f>
        <v/>
      </c>
      <c r="N177" s="3" t="n"/>
      <c r="O177" s="4">
        <f>M177-N177</f>
        <v/>
      </c>
      <c r="P177" s="6">
        <f>O177*1.18</f>
        <v/>
      </c>
    </row>
    <row r="178">
      <c r="A178" s="2" t="n">
        <v>7849341</v>
      </c>
      <c r="B178" s="2" t="inlineStr">
        <is>
          <t>SERVO LONG LIFE GREASE-20 KG</t>
        </is>
      </c>
      <c r="C178" s="3" t="inlineStr">
        <is>
          <t>BUC</t>
        </is>
      </c>
      <c r="D178" s="3" t="inlineStr">
        <is>
          <t>Grease</t>
        </is>
      </c>
      <c r="E178" s="3" t="n">
        <v>20</v>
      </c>
      <c r="F178" s="3" t="n">
        <v>20</v>
      </c>
      <c r="G178" s="3">
        <f>E178/F178</f>
        <v/>
      </c>
      <c r="H178" s="3" t="n">
        <v>12841</v>
      </c>
      <c r="I178" s="4" t="n">
        <v>9086.2916</v>
      </c>
      <c r="J178" s="4">
        <f>I178/1.18</f>
        <v/>
      </c>
      <c r="K178" s="5" t="n">
        <v>60</v>
      </c>
      <c r="L178" s="5">
        <f>(K178)*F178</f>
        <v/>
      </c>
      <c r="M178" s="4">
        <f>J178-L178</f>
        <v/>
      </c>
      <c r="N178" s="3" t="n"/>
      <c r="O178" s="4">
        <f>M178-N178</f>
        <v/>
      </c>
      <c r="P178" s="6">
        <f>O178*1.18</f>
        <v/>
      </c>
    </row>
    <row r="179">
      <c r="A179" s="2" t="n">
        <v>7849343</v>
      </c>
      <c r="B179" s="2" t="inlineStr">
        <is>
          <t>SERVO LONG LIFE GREASE-7 KG</t>
        </is>
      </c>
      <c r="C179" s="3" t="inlineStr">
        <is>
          <t>BUC</t>
        </is>
      </c>
      <c r="D179" s="3" t="inlineStr">
        <is>
          <t>Grease</t>
        </is>
      </c>
      <c r="E179" s="3" t="n">
        <v>7</v>
      </c>
      <c r="F179" s="3" t="n">
        <v>7</v>
      </c>
      <c r="G179" s="3">
        <f>E179/F179</f>
        <v/>
      </c>
      <c r="H179" s="3" t="n">
        <v>4618</v>
      </c>
      <c r="I179" s="4" t="n">
        <v>3246.9158</v>
      </c>
      <c r="J179" s="4">
        <f>I179/1.18</f>
        <v/>
      </c>
      <c r="K179" s="5" t="n">
        <v>60</v>
      </c>
      <c r="L179" s="5">
        <f>(K179)*F179</f>
        <v/>
      </c>
      <c r="M179" s="4">
        <f>J179-L179</f>
        <v/>
      </c>
      <c r="N179" s="3" t="n"/>
      <c r="O179" s="4">
        <f>M179-N179</f>
        <v/>
      </c>
      <c r="P179" s="6">
        <f>O179*1.18</f>
        <v/>
      </c>
    </row>
    <row r="180">
      <c r="A180" s="2" t="n">
        <v>7849344</v>
      </c>
      <c r="B180" s="2" t="inlineStr">
        <is>
          <t>SERVO LONG LIFE GREASE-10 KG BUC</t>
        </is>
      </c>
      <c r="C180" s="3" t="inlineStr">
        <is>
          <t>BUC</t>
        </is>
      </c>
      <c r="D180" s="3" t="inlineStr">
        <is>
          <t>Grease</t>
        </is>
      </c>
      <c r="E180" s="3" t="n">
        <v>10</v>
      </c>
      <c r="F180" s="3" t="n">
        <v>10</v>
      </c>
      <c r="G180" s="3">
        <f>E180/F180</f>
        <v/>
      </c>
      <c r="H180" s="3" t="n">
        <v>6505</v>
      </c>
      <c r="I180" s="4" t="n">
        <v>4602.2875</v>
      </c>
      <c r="J180" s="4">
        <f>I180/1.18</f>
        <v/>
      </c>
      <c r="K180" s="5" t="n">
        <v>55</v>
      </c>
      <c r="L180" s="5">
        <f>(K180)*F180</f>
        <v/>
      </c>
      <c r="M180" s="4">
        <f>J180-L180</f>
        <v/>
      </c>
      <c r="N180" s="3" t="n"/>
      <c r="O180" s="4">
        <f>M180-N180</f>
        <v/>
      </c>
      <c r="P180" s="6">
        <f>O180*1.18</f>
        <v/>
      </c>
    </row>
    <row r="181">
      <c r="A181" s="2" t="n">
        <v>7903313</v>
      </c>
      <c r="B181" s="2" t="inlineStr">
        <is>
          <t>SERVOGREASE MIRACLE 3-10 X 1 KG</t>
        </is>
      </c>
      <c r="C181" s="3" t="inlineStr">
        <is>
          <t>CAR</t>
        </is>
      </c>
      <c r="D181" s="3" t="inlineStr">
        <is>
          <t>Grease</t>
        </is>
      </c>
      <c r="E181" s="3" t="n">
        <v>10</v>
      </c>
      <c r="F181" s="3" t="n">
        <v>1</v>
      </c>
      <c r="G181" s="3">
        <f>E181/F181</f>
        <v/>
      </c>
      <c r="H181" s="3" t="n">
        <v>640</v>
      </c>
      <c r="I181" s="4" t="n">
        <v>448</v>
      </c>
      <c r="J181" s="4">
        <f>I181/1.18</f>
        <v/>
      </c>
      <c r="K181" s="5" t="n">
        <v>50</v>
      </c>
      <c r="L181" s="5">
        <f>(K181)*F181</f>
        <v/>
      </c>
      <c r="M181" s="4">
        <f>J181-L181</f>
        <v/>
      </c>
      <c r="N181" s="3" t="n"/>
      <c r="O181" s="4">
        <f>M181-N181</f>
        <v/>
      </c>
      <c r="P181" s="6">
        <f>O181*1.18</f>
        <v/>
      </c>
    </row>
    <row r="182">
      <c r="A182" s="2" t="n">
        <v>214040184</v>
      </c>
      <c r="B182" s="2" t="inlineStr">
        <is>
          <t>SERVO FLEET 40-20 X 1 L</t>
        </is>
      </c>
      <c r="C182" s="3" t="inlineStr">
        <is>
          <t>CAR</t>
        </is>
      </c>
      <c r="D182" s="3" t="inlineStr">
        <is>
          <t>CVO</t>
        </is>
      </c>
      <c r="E182" s="3" t="n">
        <v>20</v>
      </c>
      <c r="F182" s="3" t="n">
        <v>1</v>
      </c>
      <c r="G182" s="3">
        <f>E182/F182</f>
        <v/>
      </c>
      <c r="H182" s="3" t="n">
        <v>418</v>
      </c>
      <c r="I182" s="4" t="n">
        <v>296.5292</v>
      </c>
      <c r="J182" s="4">
        <f>I182/1.18</f>
        <v/>
      </c>
      <c r="K182" s="5" t="n">
        <v>15</v>
      </c>
      <c r="L182" s="5">
        <f>(K182)*F182</f>
        <v/>
      </c>
      <c r="M182" s="4">
        <f>J182-L182</f>
        <v/>
      </c>
      <c r="N182" s="3" t="n"/>
      <c r="O182" s="4">
        <f>M182-N182</f>
        <v/>
      </c>
      <c r="P182" s="6">
        <f>O182*1.18</f>
        <v/>
      </c>
    </row>
    <row r="183">
      <c r="A183" s="2" t="n">
        <v>214040234</v>
      </c>
      <c r="B183" s="2" t="inlineStr">
        <is>
          <t>SERVO FLEET 40-4 X 5 L</t>
        </is>
      </c>
      <c r="C183" s="3" t="inlineStr">
        <is>
          <t>CAR</t>
        </is>
      </c>
      <c r="D183" s="3" t="inlineStr">
        <is>
          <t>CVO</t>
        </is>
      </c>
      <c r="E183" s="3" t="n">
        <v>20</v>
      </c>
      <c r="F183" s="3" t="n">
        <v>5</v>
      </c>
      <c r="G183" s="3">
        <f>E183/F183</f>
        <v/>
      </c>
      <c r="H183" s="3" t="n">
        <v>2064</v>
      </c>
      <c r="I183" s="4" t="n">
        <v>1466.472</v>
      </c>
      <c r="J183" s="4">
        <f>I183/1.18</f>
        <v/>
      </c>
      <c r="K183" s="5" t="n">
        <v>15</v>
      </c>
      <c r="L183" s="5">
        <f>(K183)*F183</f>
        <v/>
      </c>
      <c r="M183" s="4">
        <f>J183-L183</f>
        <v/>
      </c>
      <c r="N183" s="3" t="n"/>
      <c r="O183" s="4">
        <f>M183-N183</f>
        <v/>
      </c>
      <c r="P183" s="6">
        <f>O183*1.18</f>
        <v/>
      </c>
    </row>
    <row r="184">
      <c r="A184" s="2" t="n">
        <v>214040242</v>
      </c>
      <c r="B184" s="2" t="inlineStr">
        <is>
          <t>SERVO FLEET 40-10 L</t>
        </is>
      </c>
      <c r="C184" s="3" t="inlineStr">
        <is>
          <t>BUC</t>
        </is>
      </c>
      <c r="D184" s="3" t="inlineStr">
        <is>
          <t>CVO</t>
        </is>
      </c>
      <c r="E184" s="3" t="n">
        <v>10</v>
      </c>
      <c r="F184" s="3" t="n">
        <v>10</v>
      </c>
      <c r="G184" s="3">
        <f>E184/F184</f>
        <v/>
      </c>
      <c r="H184" s="3" t="n">
        <v>4128</v>
      </c>
      <c r="I184" s="4" t="n">
        <v>2932.531200000001</v>
      </c>
      <c r="J184" s="4">
        <f>I184/1.18</f>
        <v/>
      </c>
      <c r="K184" s="5" t="n">
        <v>15</v>
      </c>
      <c r="L184" s="5">
        <f>(K184)*F184</f>
        <v/>
      </c>
      <c r="M184" s="4">
        <f>J184-L184</f>
        <v/>
      </c>
      <c r="N184" s="3" t="n"/>
      <c r="O184" s="4">
        <f>M184-N184</f>
        <v/>
      </c>
      <c r="P184" s="6">
        <f>O184*1.18</f>
        <v/>
      </c>
    </row>
    <row r="185">
      <c r="A185" s="2" t="n">
        <v>214040265</v>
      </c>
      <c r="B185" s="2" t="inlineStr">
        <is>
          <t>SERVO FLEET 40-20 L</t>
        </is>
      </c>
      <c r="C185" s="3" t="inlineStr">
        <is>
          <t>BUC</t>
        </is>
      </c>
      <c r="D185" s="3" t="inlineStr">
        <is>
          <t>CVO</t>
        </is>
      </c>
      <c r="E185" s="3" t="n">
        <v>20</v>
      </c>
      <c r="F185" s="3" t="n">
        <v>20</v>
      </c>
      <c r="G185" s="3">
        <f>E185/F185</f>
        <v/>
      </c>
      <c r="H185" s="3" t="n">
        <v>7824</v>
      </c>
      <c r="I185" s="4" t="n">
        <v>5698.2192</v>
      </c>
      <c r="J185" s="4">
        <f>I185/1.18</f>
        <v/>
      </c>
      <c r="K185" s="5" t="n">
        <v>10</v>
      </c>
      <c r="L185" s="5">
        <f>(K185)*F185</f>
        <v/>
      </c>
      <c r="M185" s="4">
        <f>J185-L185</f>
        <v/>
      </c>
      <c r="N185" s="3" t="n"/>
      <c r="O185" s="4">
        <f>M185-N185</f>
        <v/>
      </c>
      <c r="P185" s="6">
        <f>O185*1.18</f>
        <v/>
      </c>
    </row>
    <row r="186">
      <c r="A186" s="2" t="n">
        <v>220400174</v>
      </c>
      <c r="B186" s="2" t="inlineStr">
        <is>
          <t>SERVO SUPERMILE SMG 20W-40-40 X 1/2 L</t>
        </is>
      </c>
      <c r="C186" s="3" t="inlineStr">
        <is>
          <t>CAR</t>
        </is>
      </c>
      <c r="D186" s="3" t="inlineStr">
        <is>
          <t>PCMO</t>
        </is>
      </c>
      <c r="E186" s="3" t="n">
        <v>20</v>
      </c>
      <c r="F186" s="3" t="n">
        <v>0.5</v>
      </c>
      <c r="G186" s="3">
        <f>E186/F186</f>
        <v/>
      </c>
      <c r="H186" s="3" t="n">
        <v>262</v>
      </c>
      <c r="I186" s="4" t="n">
        <v>165.3744</v>
      </c>
      <c r="J186" s="4">
        <f>I186/1.18</f>
        <v/>
      </c>
      <c r="K186" s="5" t="n">
        <v>0</v>
      </c>
      <c r="L186" s="5">
        <f>(K186)*F186</f>
        <v/>
      </c>
      <c r="M186" s="4">
        <f>J186-L186</f>
        <v/>
      </c>
      <c r="N186" s="3" t="n"/>
      <c r="O186" s="4">
        <f>M186-N186</f>
        <v/>
      </c>
      <c r="P186" s="6">
        <f>O186*1.18</f>
        <v/>
      </c>
    </row>
    <row r="187">
      <c r="A187" s="2" t="n">
        <v>220400184</v>
      </c>
      <c r="B187" s="2" t="inlineStr">
        <is>
          <t>SERVO SUPERMILE SMG 20W-40-20 X 1 L</t>
        </is>
      </c>
      <c r="C187" s="3" t="inlineStr">
        <is>
          <t>CAR</t>
        </is>
      </c>
      <c r="D187" s="3" t="inlineStr">
        <is>
          <t>PCMO</t>
        </is>
      </c>
      <c r="E187" s="3" t="n">
        <v>20</v>
      </c>
      <c r="F187" s="3" t="n">
        <v>1</v>
      </c>
      <c r="G187" s="3">
        <f>E187/F187</f>
        <v/>
      </c>
      <c r="H187" s="3" t="n">
        <v>494</v>
      </c>
      <c r="I187" s="4" t="n">
        <v>303.0196</v>
      </c>
      <c r="J187" s="4">
        <f>I187/1.18</f>
        <v/>
      </c>
      <c r="K187" s="5" t="n">
        <v>20</v>
      </c>
      <c r="L187" s="5">
        <f>(K187)*F187</f>
        <v/>
      </c>
      <c r="M187" s="4">
        <f>J187-L187</f>
        <v/>
      </c>
      <c r="N187" s="3" t="n"/>
      <c r="O187" s="4">
        <f>M187-N187</f>
        <v/>
      </c>
      <c r="P187" s="6">
        <f>O187*1.18</f>
        <v/>
      </c>
    </row>
    <row r="188">
      <c r="A188" s="2" t="n">
        <v>220400213</v>
      </c>
      <c r="B188" s="2" t="inlineStr">
        <is>
          <t>SERVO SUPERMILE SMG 20W-40-4 X 3.5 L</t>
        </is>
      </c>
      <c r="C188" s="3" t="inlineStr">
        <is>
          <t>CAR</t>
        </is>
      </c>
      <c r="D188" s="3" t="inlineStr">
        <is>
          <t>PCMO</t>
        </is>
      </c>
      <c r="E188" s="3" t="n">
        <v>14</v>
      </c>
      <c r="F188" s="3" t="n">
        <v>3.5</v>
      </c>
      <c r="G188" s="3">
        <f>E188/F188</f>
        <v/>
      </c>
      <c r="H188" s="3" t="n">
        <v>1696</v>
      </c>
      <c r="I188" s="4" t="n">
        <v>1081.2</v>
      </c>
      <c r="J188" s="4">
        <f>I188/1.18</f>
        <v/>
      </c>
      <c r="K188" s="5" t="n">
        <v>20</v>
      </c>
      <c r="L188" s="5">
        <f>(K188)*F188</f>
        <v/>
      </c>
      <c r="M188" s="4">
        <f>J188-L188</f>
        <v/>
      </c>
      <c r="N188" s="3" t="n"/>
      <c r="O188" s="4">
        <f>M188-N188</f>
        <v/>
      </c>
      <c r="P188" s="6">
        <f>O188*1.18</f>
        <v/>
      </c>
    </row>
    <row r="189">
      <c r="A189" s="2" t="n">
        <v>220400234</v>
      </c>
      <c r="B189" s="2" t="inlineStr">
        <is>
          <t>SERVO SUPERMILE SMG 20W-40-4 X 5 L</t>
        </is>
      </c>
      <c r="C189" s="3" t="inlineStr">
        <is>
          <t>CAR</t>
        </is>
      </c>
      <c r="D189" s="3" t="inlineStr">
        <is>
          <t>PCMO</t>
        </is>
      </c>
      <c r="E189" s="3" t="n">
        <v>20</v>
      </c>
      <c r="F189" s="3" t="n">
        <v>5</v>
      </c>
      <c r="G189" s="3">
        <f>E189/F189</f>
        <v/>
      </c>
      <c r="H189" s="3" t="n">
        <v>2415</v>
      </c>
      <c r="I189" s="4" t="n">
        <v>1498.9905</v>
      </c>
      <c r="J189" s="4">
        <f>I189/1.18</f>
        <v/>
      </c>
      <c r="K189" s="5" t="n">
        <v>20</v>
      </c>
      <c r="L189" s="5">
        <f>(K189)*F189</f>
        <v/>
      </c>
      <c r="M189" s="4">
        <f>J189-L189</f>
        <v/>
      </c>
      <c r="N189" s="3" t="n"/>
      <c r="O189" s="4">
        <f>M189-N189</f>
        <v/>
      </c>
      <c r="P189" s="6">
        <f>O189*1.18</f>
        <v/>
      </c>
    </row>
    <row r="190">
      <c r="A190" s="2" t="n">
        <v>229590184</v>
      </c>
      <c r="B190" s="2" t="inlineStr">
        <is>
          <t>SERVO SUPERMILE 5W-30-20 X 1 L</t>
        </is>
      </c>
      <c r="C190" s="3" t="inlineStr">
        <is>
          <t>CAR</t>
        </is>
      </c>
      <c r="D190" s="3" t="inlineStr">
        <is>
          <t>PCMO</t>
        </is>
      </c>
      <c r="E190" s="3" t="n">
        <v>20</v>
      </c>
      <c r="F190" s="3" t="n">
        <v>1</v>
      </c>
      <c r="G190" s="3">
        <f>E190/F190</f>
        <v/>
      </c>
      <c r="H190" s="3" t="n">
        <v>530</v>
      </c>
      <c r="I190" s="4" t="n">
        <v>323.247</v>
      </c>
      <c r="J190" s="4">
        <f>I190/1.18</f>
        <v/>
      </c>
      <c r="K190" s="5" t="n">
        <v>20</v>
      </c>
      <c r="L190" s="5">
        <f>(K190)*F190</f>
        <v/>
      </c>
      <c r="M190" s="4">
        <f>J190-L190</f>
        <v/>
      </c>
      <c r="N190" s="3" t="n"/>
      <c r="O190" s="4">
        <f>M190-N190</f>
        <v/>
      </c>
      <c r="P190" s="6">
        <f>O190*1.18</f>
        <v/>
      </c>
    </row>
    <row r="191">
      <c r="A191" s="2" t="n">
        <v>229590203</v>
      </c>
      <c r="B191" s="2" t="inlineStr">
        <is>
          <t>SERVO SUPERMILE 5W-30-4 X 3 L</t>
        </is>
      </c>
      <c r="C191" s="3" t="inlineStr">
        <is>
          <t>CAR</t>
        </is>
      </c>
      <c r="D191" s="3" t="inlineStr">
        <is>
          <t>PCMO</t>
        </is>
      </c>
      <c r="E191" s="3" t="n">
        <v>12</v>
      </c>
      <c r="F191" s="3" t="n">
        <v>3</v>
      </c>
      <c r="G191" s="3">
        <f>E191/F191</f>
        <v/>
      </c>
      <c r="H191" s="3" t="n">
        <v>1535</v>
      </c>
      <c r="I191" s="4" t="n">
        <v>958.6075000000001</v>
      </c>
      <c r="J191" s="4">
        <f>I191/1.18</f>
        <v/>
      </c>
      <c r="K191" s="5" t="n">
        <v>20</v>
      </c>
      <c r="L191" s="5">
        <f>(K191)*F191</f>
        <v/>
      </c>
      <c r="M191" s="4">
        <f>J191-L191</f>
        <v/>
      </c>
      <c r="N191" s="3" t="n"/>
      <c r="O191" s="4">
        <f>M191-N191</f>
        <v/>
      </c>
      <c r="P191" s="6">
        <f>O191*1.18</f>
        <v/>
      </c>
    </row>
    <row r="192">
      <c r="A192" s="2" t="n">
        <v>229590213</v>
      </c>
      <c r="B192" s="2" t="inlineStr">
        <is>
          <t>SERVO SUPERMILE 5W-30-4 X 3.5 L</t>
        </is>
      </c>
      <c r="C192" s="3" t="inlineStr">
        <is>
          <t>CAR</t>
        </is>
      </c>
      <c r="D192" s="3" t="inlineStr">
        <is>
          <t>PCMO</t>
        </is>
      </c>
      <c r="E192" s="3" t="n">
        <v>14</v>
      </c>
      <c r="F192" s="3" t="n">
        <v>3.5</v>
      </c>
      <c r="G192" s="3">
        <f>E192/F192</f>
        <v/>
      </c>
      <c r="H192" s="3" t="n">
        <v>1749</v>
      </c>
      <c r="I192" s="4" t="n">
        <v>1119.0102</v>
      </c>
      <c r="J192" s="4">
        <f>I192/1.18</f>
        <v/>
      </c>
      <c r="K192" s="5" t="n">
        <v>20</v>
      </c>
      <c r="L192" s="5">
        <f>(K192)*F192</f>
        <v/>
      </c>
      <c r="M192" s="4">
        <f>J192-L192</f>
        <v/>
      </c>
      <c r="N192" s="3" t="n"/>
      <c r="O192" s="4">
        <f>M192-N192</f>
        <v/>
      </c>
      <c r="P192" s="6">
        <f>O192*1.18</f>
        <v/>
      </c>
    </row>
    <row r="193">
      <c r="A193" s="2" t="n">
        <v>229590234</v>
      </c>
      <c r="B193" s="2" t="inlineStr">
        <is>
          <t>SERVO SUPERMILE 5W-30-4 X 5 L</t>
        </is>
      </c>
      <c r="C193" s="3" t="inlineStr">
        <is>
          <t>CAR</t>
        </is>
      </c>
      <c r="D193" s="3" t="inlineStr">
        <is>
          <t>PCMO</t>
        </is>
      </c>
      <c r="E193" s="3" t="n">
        <v>20</v>
      </c>
      <c r="F193" s="3" t="n">
        <v>5</v>
      </c>
      <c r="G193" s="3">
        <f>E193/F193</f>
        <v/>
      </c>
      <c r="H193" s="3" t="n">
        <v>2549</v>
      </c>
      <c r="I193" s="4" t="n">
        <v>1588.027</v>
      </c>
      <c r="J193" s="4">
        <f>I193/1.18</f>
        <v/>
      </c>
      <c r="K193" s="5" t="n">
        <v>20</v>
      </c>
      <c r="L193" s="5">
        <f>(K193)*F193</f>
        <v/>
      </c>
      <c r="M193" s="4">
        <f>J193-L193</f>
        <v/>
      </c>
      <c r="N193" s="3" t="n"/>
      <c r="O193" s="4">
        <f>M193-N193</f>
        <v/>
      </c>
      <c r="P193" s="6">
        <f>O193*1.18</f>
        <v/>
      </c>
    </row>
    <row r="194">
      <c r="A194" s="2" t="n">
        <v>237250213</v>
      </c>
      <c r="B194" s="2" t="inlineStr">
        <is>
          <t>SERVO KISANPOWER SPSO-4 X 3.5 L</t>
        </is>
      </c>
      <c r="C194" s="3" t="inlineStr">
        <is>
          <t>CAR</t>
        </is>
      </c>
      <c r="D194" s="3" t="inlineStr">
        <is>
          <t>AGRI</t>
        </is>
      </c>
      <c r="E194" s="3" t="n">
        <v>14</v>
      </c>
      <c r="F194" s="3" t="n">
        <v>3.5</v>
      </c>
      <c r="G194" s="3">
        <f>E194/F194</f>
        <v/>
      </c>
      <c r="H194" s="3" t="n">
        <v>1446</v>
      </c>
      <c r="I194" s="4" t="n">
        <v>925.0061999999999</v>
      </c>
      <c r="J194" s="4">
        <f>I194/1.18</f>
        <v/>
      </c>
      <c r="K194" s="5" t="n">
        <v>25</v>
      </c>
      <c r="L194" s="5">
        <f>(K194)*F194</f>
        <v/>
      </c>
      <c r="M194" s="4">
        <f>J194-L194</f>
        <v/>
      </c>
      <c r="N194" s="3" t="n"/>
      <c r="O194" s="4">
        <f>M194-N194</f>
        <v/>
      </c>
      <c r="P194" s="6">
        <f>O194*1.18</f>
        <v/>
      </c>
    </row>
    <row r="195">
      <c r="A195" s="2" t="n">
        <v>249500184</v>
      </c>
      <c r="B195" s="2" t="inlineStr">
        <is>
          <t>SERVO KISANPOWER OIB-20 X 1 L</t>
        </is>
      </c>
      <c r="C195" s="3" t="inlineStr">
        <is>
          <t>CAR</t>
        </is>
      </c>
      <c r="D195" s="3" t="inlineStr">
        <is>
          <t>AGRI</t>
        </is>
      </c>
      <c r="E195" s="3" t="n">
        <v>20</v>
      </c>
      <c r="F195" s="3" t="n">
        <v>1</v>
      </c>
      <c r="G195" s="3">
        <f>E195/F195</f>
        <v/>
      </c>
      <c r="H195" s="3" t="n">
        <v>436</v>
      </c>
      <c r="I195" s="4" t="n">
        <v>288.0651999999999</v>
      </c>
      <c r="J195" s="4">
        <f>I195/1.18</f>
        <v/>
      </c>
      <c r="K195" s="5" t="n">
        <v>20</v>
      </c>
      <c r="L195" s="5">
        <f>(K195)*F195</f>
        <v/>
      </c>
      <c r="M195" s="4">
        <f>J195-L195</f>
        <v/>
      </c>
      <c r="N195" s="3" t="n"/>
      <c r="O195" s="4">
        <f>M195-N195</f>
        <v/>
      </c>
      <c r="P195" s="6">
        <f>O195*1.18</f>
        <v/>
      </c>
    </row>
    <row r="196">
      <c r="A196" s="2" t="n">
        <v>249500234</v>
      </c>
      <c r="B196" s="2" t="inlineStr">
        <is>
          <t>SERVO KISANPOWER OIB-4 X 5 L</t>
        </is>
      </c>
      <c r="C196" s="3" t="inlineStr">
        <is>
          <t>CAR</t>
        </is>
      </c>
      <c r="D196" s="3" t="inlineStr">
        <is>
          <t>AGRI</t>
        </is>
      </c>
      <c r="E196" s="3" t="n">
        <v>20</v>
      </c>
      <c r="F196" s="3" t="n">
        <v>5</v>
      </c>
      <c r="G196" s="3">
        <f>E196/F196</f>
        <v/>
      </c>
      <c r="H196" s="3" t="n">
        <v>2009</v>
      </c>
      <c r="I196" s="4" t="n">
        <v>1423.7783</v>
      </c>
      <c r="J196" s="4">
        <f>I196/1.18</f>
        <v/>
      </c>
      <c r="K196" s="5" t="n">
        <v>20</v>
      </c>
      <c r="L196" s="5">
        <f>(K196)*F196</f>
        <v/>
      </c>
      <c r="M196" s="4">
        <f>J196-L196</f>
        <v/>
      </c>
      <c r="N196" s="3" t="n"/>
      <c r="O196" s="4">
        <f>M196-N196</f>
        <v/>
      </c>
      <c r="P196" s="6">
        <f>O196*1.18</f>
        <v/>
      </c>
    </row>
    <row r="197">
      <c r="A197" s="2" t="n">
        <v>249500265</v>
      </c>
      <c r="B197" s="2" t="inlineStr">
        <is>
          <t>SERVO KISANPOWER OIB-20 L</t>
        </is>
      </c>
      <c r="C197" s="3" t="inlineStr">
        <is>
          <t>BUC</t>
        </is>
      </c>
      <c r="D197" s="3" t="inlineStr">
        <is>
          <t>AGRI</t>
        </is>
      </c>
      <c r="E197" s="3" t="n">
        <v>20</v>
      </c>
      <c r="F197" s="3" t="n">
        <v>20</v>
      </c>
      <c r="G197" s="3">
        <f>E197/F197</f>
        <v/>
      </c>
      <c r="H197" s="3" t="n">
        <v>8083</v>
      </c>
      <c r="I197" s="4" t="n">
        <v>5553.021</v>
      </c>
      <c r="J197" s="4">
        <f>I197/1.18</f>
        <v/>
      </c>
      <c r="K197" s="5" t="n">
        <v>20</v>
      </c>
      <c r="L197" s="5">
        <f>(K197)*F197</f>
        <v/>
      </c>
      <c r="M197" s="4">
        <f>J197-L197</f>
        <v/>
      </c>
      <c r="N197" s="3" t="n"/>
      <c r="O197" s="4">
        <f>M197-N197</f>
        <v/>
      </c>
      <c r="P197" s="6">
        <f>O197*1.18</f>
        <v/>
      </c>
    </row>
    <row r="198">
      <c r="A198" s="2" t="n">
        <v>250340174</v>
      </c>
      <c r="B198" s="2" t="inlineStr">
        <is>
          <t>SERVO SUPERMILE GEO 20W-50-40 X 1/2 L</t>
        </is>
      </c>
      <c r="C198" s="3" t="inlineStr">
        <is>
          <t>CAR</t>
        </is>
      </c>
      <c r="D198" s="3" t="inlineStr">
        <is>
          <t>PCMO</t>
        </is>
      </c>
      <c r="E198" s="3" t="n">
        <v>20</v>
      </c>
      <c r="F198" s="3" t="n">
        <v>0.5</v>
      </c>
      <c r="G198" s="3">
        <f>E198/F198</f>
        <v/>
      </c>
      <c r="H198" s="3" t="n">
        <v>205</v>
      </c>
      <c r="I198" s="4" t="n">
        <v>146.903</v>
      </c>
      <c r="J198" s="4">
        <f>I198/1.18</f>
        <v/>
      </c>
      <c r="K198" s="5" t="n">
        <v>0</v>
      </c>
      <c r="L198" s="5">
        <f>(K198)*F198</f>
        <v/>
      </c>
      <c r="M198" s="4">
        <f>J198-L198</f>
        <v/>
      </c>
      <c r="N198" s="3" t="n"/>
      <c r="O198" s="4">
        <f>M198-N198</f>
        <v/>
      </c>
      <c r="P198" s="6">
        <f>O198*1.18</f>
        <v/>
      </c>
    </row>
    <row r="199">
      <c r="A199" s="2" t="n">
        <v>250340175</v>
      </c>
      <c r="B199" s="2" t="inlineStr">
        <is>
          <t>SERVO SUPERMILE GEO 20W-50-20 X 1/2 L</t>
        </is>
      </c>
      <c r="C199" s="3" t="inlineStr">
        <is>
          <t>CAR</t>
        </is>
      </c>
      <c r="D199" s="3" t="inlineStr">
        <is>
          <t>PCMO</t>
        </is>
      </c>
      <c r="E199" s="3" t="n">
        <v>10</v>
      </c>
      <c r="F199" s="3" t="n">
        <v>0.5</v>
      </c>
      <c r="G199" s="3">
        <f>E199/F199</f>
        <v/>
      </c>
      <c r="H199" s="3" t="n">
        <v>205</v>
      </c>
      <c r="I199" s="4" t="n">
        <v>146.903</v>
      </c>
      <c r="J199" s="4">
        <f>I199/1.18</f>
        <v/>
      </c>
      <c r="K199" s="5" t="n">
        <v>10</v>
      </c>
      <c r="L199" s="5">
        <f>(K199)*F199</f>
        <v/>
      </c>
      <c r="M199" s="4">
        <f>J199-L199</f>
        <v/>
      </c>
      <c r="N199" s="3" t="n"/>
      <c r="O199" s="4">
        <f>M199-N199</f>
        <v/>
      </c>
      <c r="P199" s="6">
        <f>O199*1.18</f>
        <v/>
      </c>
    </row>
    <row r="200">
      <c r="A200" s="2" t="n">
        <v>250340184</v>
      </c>
      <c r="B200" s="2" t="inlineStr">
        <is>
          <t>SERVO SUPERMILE GEO 20W-50-20 X 1 L</t>
        </is>
      </c>
      <c r="C200" s="3" t="inlineStr">
        <is>
          <t>CAR</t>
        </is>
      </c>
      <c r="D200" s="3" t="inlineStr">
        <is>
          <t>PCMO</t>
        </is>
      </c>
      <c r="E200" s="3" t="n">
        <v>20</v>
      </c>
      <c r="F200" s="3" t="n">
        <v>1</v>
      </c>
      <c r="G200" s="3">
        <f>E200/F200</f>
        <v/>
      </c>
      <c r="H200" s="3" t="n">
        <v>368</v>
      </c>
      <c r="I200" s="4" t="n">
        <v>267.904</v>
      </c>
      <c r="J200" s="4">
        <f>I200/1.18</f>
        <v/>
      </c>
      <c r="K200" s="5" t="n">
        <v>15</v>
      </c>
      <c r="L200" s="5">
        <f>(K200)*F200</f>
        <v/>
      </c>
      <c r="M200" s="4">
        <f>J200-L200</f>
        <v/>
      </c>
      <c r="N200" s="3" t="n"/>
      <c r="O200" s="4">
        <f>M200-N200</f>
        <v/>
      </c>
      <c r="P200" s="6">
        <f>O200*1.18</f>
        <v/>
      </c>
    </row>
    <row r="201">
      <c r="A201" s="2" t="n">
        <v>250340199</v>
      </c>
      <c r="B201" s="2" t="inlineStr">
        <is>
          <t>SERVO SUPERMILE GEO 20W-50-4 X 2.1 L</t>
        </is>
      </c>
      <c r="C201" s="3" t="inlineStr">
        <is>
          <t>CAR</t>
        </is>
      </c>
      <c r="D201" s="3" t="inlineStr">
        <is>
          <t>PCMO</t>
        </is>
      </c>
      <c r="E201" s="3" t="n">
        <v>8.4</v>
      </c>
      <c r="F201" s="3" t="n">
        <v>2.1</v>
      </c>
      <c r="G201" s="3">
        <f>E201/F201</f>
        <v/>
      </c>
      <c r="H201" s="3" t="n">
        <v>772.8</v>
      </c>
      <c r="I201" s="4" t="n">
        <v>558.7343999999999</v>
      </c>
      <c r="J201" s="4">
        <f>I201/1.18</f>
        <v/>
      </c>
      <c r="K201" s="5" t="n">
        <v>10</v>
      </c>
      <c r="L201" s="5">
        <f>(K201)*F201</f>
        <v/>
      </c>
      <c r="M201" s="4">
        <f>J201-L201</f>
        <v/>
      </c>
      <c r="N201" s="3" t="n"/>
      <c r="O201" s="4">
        <f>M201-N201</f>
        <v/>
      </c>
      <c r="P201" s="6">
        <f>O201*1.18</f>
        <v/>
      </c>
    </row>
    <row r="202">
      <c r="A202" s="2" t="n">
        <v>250340203</v>
      </c>
      <c r="B202" s="2" t="inlineStr">
        <is>
          <t>SERVO SUPERMILE GEO 20W-50-4 X 3 L</t>
        </is>
      </c>
      <c r="C202" s="3" t="inlineStr">
        <is>
          <t>CAR</t>
        </is>
      </c>
      <c r="D202" s="3" t="inlineStr">
        <is>
          <t>PCMO</t>
        </is>
      </c>
      <c r="E202" s="3" t="n">
        <v>12</v>
      </c>
      <c r="F202" s="3" t="n">
        <v>3</v>
      </c>
      <c r="G202" s="3">
        <f>E202/F202</f>
        <v/>
      </c>
      <c r="H202" s="3" t="n">
        <v>1104</v>
      </c>
      <c r="I202" s="4" t="n">
        <v>799.9584</v>
      </c>
      <c r="J202" s="4">
        <f>I202/1.18</f>
        <v/>
      </c>
      <c r="K202" s="5" t="n">
        <v>10</v>
      </c>
      <c r="L202" s="5">
        <f>(K202)*F202</f>
        <v/>
      </c>
      <c r="M202" s="4">
        <f>J202-L202</f>
        <v/>
      </c>
      <c r="N202" s="3" t="n"/>
      <c r="O202" s="4">
        <f>M202-N202</f>
        <v/>
      </c>
      <c r="P202" s="6">
        <f>O202*1.18</f>
        <v/>
      </c>
    </row>
    <row r="203">
      <c r="A203" s="2" t="n">
        <v>250340265</v>
      </c>
      <c r="B203" s="2" t="inlineStr">
        <is>
          <t>SERVO SUPERMILE GEO 20W-50-20 L</t>
        </is>
      </c>
      <c r="C203" s="3" t="inlineStr">
        <is>
          <t>BUC</t>
        </is>
      </c>
      <c r="D203" s="3" t="inlineStr">
        <is>
          <t>PCMO</t>
        </is>
      </c>
      <c r="E203" s="3" t="n">
        <v>20</v>
      </c>
      <c r="F203" s="3" t="n">
        <v>20</v>
      </c>
      <c r="G203" s="3">
        <f>E203/F203</f>
        <v/>
      </c>
      <c r="H203" s="3" t="n">
        <v>7323</v>
      </c>
      <c r="I203" s="4" t="n">
        <v>5244.000300000001</v>
      </c>
      <c r="J203" s="4">
        <f>I203/1.18</f>
        <v/>
      </c>
      <c r="K203" s="5" t="n">
        <v>15</v>
      </c>
      <c r="L203" s="5">
        <f>(K203)*F203</f>
        <v/>
      </c>
      <c r="M203" s="4">
        <f>J203-L203</f>
        <v/>
      </c>
      <c r="N203" s="3" t="n"/>
      <c r="O203" s="4">
        <f>M203-N203</f>
        <v/>
      </c>
      <c r="P203" s="6">
        <f>O203*1.18</f>
        <v/>
      </c>
    </row>
    <row r="204">
      <c r="A204" s="2" t="n">
        <v>250510174</v>
      </c>
      <c r="B204" s="2" t="inlineStr">
        <is>
          <t>SERVO SUPERMILE GEO-40 X 1/2 L</t>
        </is>
      </c>
      <c r="C204" s="3" t="inlineStr">
        <is>
          <t>CAR</t>
        </is>
      </c>
      <c r="D204" s="3" t="inlineStr">
        <is>
          <t>PCMO</t>
        </is>
      </c>
      <c r="E204" s="3" t="n">
        <v>20</v>
      </c>
      <c r="F204" s="3" t="n">
        <v>0.5</v>
      </c>
      <c r="G204" s="3">
        <f>E204/F204</f>
        <v/>
      </c>
      <c r="H204" s="3" t="n">
        <v>215</v>
      </c>
      <c r="I204" s="4" t="n">
        <v>157.122</v>
      </c>
      <c r="J204" s="4">
        <f>I204/1.18</f>
        <v/>
      </c>
      <c r="K204" s="5" t="n">
        <v>0</v>
      </c>
      <c r="L204" s="5">
        <f>(K204)*F204</f>
        <v/>
      </c>
      <c r="M204" s="4">
        <f>J204-L204</f>
        <v/>
      </c>
      <c r="N204" s="3" t="n"/>
      <c r="O204" s="4">
        <f>M204-N204</f>
        <v/>
      </c>
      <c r="P204" s="6">
        <f>O204*1.18</f>
        <v/>
      </c>
    </row>
    <row r="205">
      <c r="A205" s="2" t="n">
        <v>250510175</v>
      </c>
      <c r="B205" s="2" t="inlineStr">
        <is>
          <t>SERVO SUPERMILE GEO-20 X 1/2 L</t>
        </is>
      </c>
      <c r="C205" s="3" t="inlineStr">
        <is>
          <t>CAR</t>
        </is>
      </c>
      <c r="D205" s="3" t="inlineStr">
        <is>
          <t>PCMO</t>
        </is>
      </c>
      <c r="E205" s="3" t="n">
        <v>10</v>
      </c>
      <c r="F205" s="3" t="n">
        <v>0.5</v>
      </c>
      <c r="G205" s="3">
        <f>E205/F205</f>
        <v/>
      </c>
      <c r="H205" s="3" t="n">
        <v>215</v>
      </c>
      <c r="I205" s="4" t="n">
        <v>157.122</v>
      </c>
      <c r="J205" s="4">
        <f>I205/1.18</f>
        <v/>
      </c>
      <c r="K205" s="5" t="n">
        <v>0</v>
      </c>
      <c r="L205" s="5">
        <f>(K205)*F205</f>
        <v/>
      </c>
      <c r="M205" s="4">
        <f>J205-L205</f>
        <v/>
      </c>
      <c r="N205" s="3" t="n"/>
      <c r="O205" s="4">
        <f>M205-N205</f>
        <v/>
      </c>
      <c r="P205" s="6">
        <f>O205*1.18</f>
        <v/>
      </c>
    </row>
    <row r="206">
      <c r="A206" s="2" t="n">
        <v>250510184</v>
      </c>
      <c r="B206" s="2" t="inlineStr">
        <is>
          <t>SERVO SUPERMILE GEO-20 X 1 L</t>
        </is>
      </c>
      <c r="C206" s="3" t="inlineStr">
        <is>
          <t>CAR</t>
        </is>
      </c>
      <c r="D206" s="3" t="inlineStr">
        <is>
          <t>PCMO</t>
        </is>
      </c>
      <c r="E206" s="3" t="n">
        <v>20</v>
      </c>
      <c r="F206" s="3" t="n">
        <v>1</v>
      </c>
      <c r="G206" s="3">
        <f>E206/F206</f>
        <v/>
      </c>
      <c r="H206" s="3" t="n">
        <v>395</v>
      </c>
      <c r="I206" s="4" t="n">
        <v>274.999</v>
      </c>
      <c r="J206" s="4">
        <f>I206/1.18</f>
        <v/>
      </c>
      <c r="K206" s="5" t="n">
        <v>0</v>
      </c>
      <c r="L206" s="5">
        <f>(K206)*F206</f>
        <v/>
      </c>
      <c r="M206" s="4">
        <f>J206-L206</f>
        <v/>
      </c>
      <c r="N206" s="3" t="n"/>
      <c r="O206" s="4">
        <f>M206-N206</f>
        <v/>
      </c>
      <c r="P206" s="6">
        <f>O206*1.18</f>
        <v/>
      </c>
    </row>
    <row r="207">
      <c r="A207" s="2" t="n">
        <v>250510203</v>
      </c>
      <c r="B207" s="2" t="inlineStr">
        <is>
          <t>SERVO SUPERMILE GEO-4 X 3 L</t>
        </is>
      </c>
      <c r="C207" s="3" t="inlineStr">
        <is>
          <t>CAR</t>
        </is>
      </c>
      <c r="D207" s="3" t="inlineStr">
        <is>
          <t>PCMO</t>
        </is>
      </c>
      <c r="E207" s="3" t="n">
        <v>12</v>
      </c>
      <c r="F207" s="3" t="n">
        <v>3</v>
      </c>
      <c r="G207" s="3">
        <f>E207/F207</f>
        <v/>
      </c>
      <c r="H207" s="3" t="n">
        <v>1185</v>
      </c>
      <c r="I207" s="4" t="n">
        <v>824.9970000000002</v>
      </c>
      <c r="J207" s="4">
        <f>I207/1.18</f>
        <v/>
      </c>
      <c r="K207" s="5" t="n">
        <v>0</v>
      </c>
      <c r="L207" s="5">
        <f>(K207)*F207</f>
        <v/>
      </c>
      <c r="M207" s="4">
        <f>J207-L207</f>
        <v/>
      </c>
      <c r="N207" s="3" t="n"/>
      <c r="O207" s="4">
        <f>M207-N207</f>
        <v/>
      </c>
      <c r="P207" s="6">
        <f>O207*1.18</f>
        <v/>
      </c>
    </row>
    <row r="208">
      <c r="A208" s="2" t="n">
        <v>250510265</v>
      </c>
      <c r="B208" s="2" t="inlineStr">
        <is>
          <t>SERVO SUPERMILE GEO-20 L</t>
        </is>
      </c>
      <c r="C208" s="3" t="inlineStr">
        <is>
          <t>BUC</t>
        </is>
      </c>
      <c r="D208" s="3" t="inlineStr">
        <is>
          <t>PCMO</t>
        </is>
      </c>
      <c r="E208" s="3" t="n">
        <v>20</v>
      </c>
      <c r="F208" s="3" t="n">
        <v>20</v>
      </c>
      <c r="G208" s="3">
        <f>E208/F208</f>
        <v/>
      </c>
      <c r="H208" s="3" t="n">
        <v>7900</v>
      </c>
      <c r="I208" s="4" t="n">
        <v>5499.98</v>
      </c>
      <c r="J208" s="4">
        <f>I208/1.18</f>
        <v/>
      </c>
      <c r="K208" s="5" t="n">
        <v>0</v>
      </c>
      <c r="L208" s="5">
        <f>(K208)*F208</f>
        <v/>
      </c>
      <c r="M208" s="4">
        <f>J208-L208</f>
        <v/>
      </c>
      <c r="N208" s="3" t="n"/>
      <c r="O208" s="4">
        <f>M208-N208</f>
        <v/>
      </c>
      <c r="P208" s="6">
        <f>O208*1.18</f>
        <v/>
      </c>
    </row>
    <row r="209">
      <c r="A209" s="2" t="n">
        <v>273640184</v>
      </c>
      <c r="B209" s="2" t="inlineStr">
        <is>
          <t>SERVO FLEET 15W-40-20 X 1 L</t>
        </is>
      </c>
      <c r="C209" s="3" t="inlineStr">
        <is>
          <t>CAR</t>
        </is>
      </c>
      <c r="D209" s="3" t="inlineStr">
        <is>
          <t>CVO</t>
        </is>
      </c>
      <c r="E209" s="3" t="n">
        <v>20</v>
      </c>
      <c r="F209" s="3" t="n">
        <v>1</v>
      </c>
      <c r="G209" s="3">
        <f>E209/F209</f>
        <v/>
      </c>
      <c r="H209" s="3" t="n">
        <v>399</v>
      </c>
      <c r="I209" s="4" t="n">
        <v>287.679</v>
      </c>
      <c r="J209" s="4">
        <f>I209/1.18</f>
        <v/>
      </c>
      <c r="K209" s="5" t="n">
        <v>20</v>
      </c>
      <c r="L209" s="5">
        <f>(K209)*F209</f>
        <v/>
      </c>
      <c r="M209" s="4">
        <f>J209-L209</f>
        <v/>
      </c>
      <c r="N209" s="3" t="n"/>
      <c r="O209" s="4">
        <f>M209-N209</f>
        <v/>
      </c>
      <c r="P209" s="6">
        <f>O209*1.18</f>
        <v/>
      </c>
    </row>
    <row r="210">
      <c r="A210" s="2" t="n">
        <v>273640203</v>
      </c>
      <c r="B210" s="2" t="inlineStr">
        <is>
          <t>SERVO FLEET 15W-40-4 X 3 L</t>
        </is>
      </c>
      <c r="C210" s="3" t="inlineStr">
        <is>
          <t>CAR</t>
        </is>
      </c>
      <c r="D210" s="3" t="inlineStr">
        <is>
          <t>CVO</t>
        </is>
      </c>
      <c r="E210" s="3" t="n">
        <v>12</v>
      </c>
      <c r="F210" s="3" t="n">
        <v>3</v>
      </c>
      <c r="G210" s="3">
        <f>E210/F210</f>
        <v/>
      </c>
      <c r="H210" s="3" t="n">
        <v>1159</v>
      </c>
      <c r="I210" s="4" t="n">
        <v>855.342</v>
      </c>
      <c r="J210" s="4">
        <f>I210/1.18</f>
        <v/>
      </c>
      <c r="K210" s="5" t="n">
        <v>20</v>
      </c>
      <c r="L210" s="5">
        <f>(K210)*F210</f>
        <v/>
      </c>
      <c r="M210" s="4">
        <f>J210-L210</f>
        <v/>
      </c>
      <c r="N210" s="3" t="n"/>
      <c r="O210" s="4">
        <f>M210-N210</f>
        <v/>
      </c>
      <c r="P210" s="6">
        <f>O210*1.18</f>
        <v/>
      </c>
    </row>
    <row r="211">
      <c r="A211" s="2" t="n">
        <v>273640234</v>
      </c>
      <c r="B211" s="2" t="inlineStr">
        <is>
          <t>SERVO FLEET 15W-40-4 X 5 L</t>
        </is>
      </c>
      <c r="C211" s="3" t="inlineStr">
        <is>
          <t>CAR</t>
        </is>
      </c>
      <c r="D211" s="3" t="inlineStr">
        <is>
          <t>CVO</t>
        </is>
      </c>
      <c r="E211" s="3" t="n">
        <v>20</v>
      </c>
      <c r="F211" s="3" t="n">
        <v>5</v>
      </c>
      <c r="G211" s="3">
        <f>E211/F211</f>
        <v/>
      </c>
      <c r="H211" s="3" t="n">
        <v>1930</v>
      </c>
      <c r="I211" s="4" t="n">
        <v>1421.831</v>
      </c>
      <c r="J211" s="4">
        <f>I211/1.18</f>
        <v/>
      </c>
      <c r="K211" s="5" t="n">
        <v>20</v>
      </c>
      <c r="L211" s="5">
        <f>(K211)*F211</f>
        <v/>
      </c>
      <c r="M211" s="4">
        <f>J211-L211</f>
        <v/>
      </c>
      <c r="N211" s="3" t="n"/>
      <c r="O211" s="4">
        <f>M211-N211</f>
        <v/>
      </c>
      <c r="P211" s="6">
        <f>O211*1.18</f>
        <v/>
      </c>
    </row>
    <row r="212">
      <c r="A212" s="2" t="n">
        <v>273640242</v>
      </c>
      <c r="B212" s="2" t="inlineStr">
        <is>
          <t>SERVO FLEET 15W-40-10 L</t>
        </is>
      </c>
      <c r="C212" s="3" t="inlineStr">
        <is>
          <t>BUC</t>
        </is>
      </c>
      <c r="D212" s="3" t="inlineStr">
        <is>
          <t>CVO</t>
        </is>
      </c>
      <c r="E212" s="3" t="n">
        <v>10</v>
      </c>
      <c r="F212" s="3" t="n">
        <v>10</v>
      </c>
      <c r="G212" s="3">
        <f>E212/F212</f>
        <v/>
      </c>
      <c r="H212" s="3" t="n">
        <v>3860</v>
      </c>
      <c r="I212" s="4" t="n">
        <v>2843.662</v>
      </c>
      <c r="J212" s="4">
        <f>I212/1.18</f>
        <v/>
      </c>
      <c r="K212" s="5" t="n">
        <v>20</v>
      </c>
      <c r="L212" s="5">
        <f>(K212)*F212</f>
        <v/>
      </c>
      <c r="M212" s="4">
        <f>J212-L212</f>
        <v/>
      </c>
      <c r="N212" s="3" t="n"/>
      <c r="O212" s="4">
        <f>M212-N212</f>
        <v/>
      </c>
      <c r="P212" s="6">
        <f>O212*1.18</f>
        <v/>
      </c>
    </row>
    <row r="213">
      <c r="A213" s="2" t="n">
        <v>273640251</v>
      </c>
      <c r="B213" s="2" t="inlineStr">
        <is>
          <t>SERVO FLEET 15W-40-7.5 L</t>
        </is>
      </c>
      <c r="C213" s="3" t="inlineStr">
        <is>
          <t>BUC</t>
        </is>
      </c>
      <c r="D213" s="3" t="inlineStr">
        <is>
          <t>CVO</t>
        </is>
      </c>
      <c r="E213" s="3" t="n">
        <v>7.5</v>
      </c>
      <c r="F213" s="3" t="n">
        <v>7.5</v>
      </c>
      <c r="G213" s="3">
        <f>E213/F213</f>
        <v/>
      </c>
      <c r="H213" s="3" t="n">
        <v>2899</v>
      </c>
      <c r="I213" s="4" t="n">
        <v>2140.0418</v>
      </c>
      <c r="J213" s="4">
        <f>I213/1.18</f>
        <v/>
      </c>
      <c r="K213" s="5" t="n">
        <v>20</v>
      </c>
      <c r="L213" s="5">
        <f>(K213)*F213</f>
        <v/>
      </c>
      <c r="M213" s="4">
        <f>J213-L213</f>
        <v/>
      </c>
      <c r="N213" s="3" t="n"/>
      <c r="O213" s="4">
        <f>M213-N213</f>
        <v/>
      </c>
      <c r="P213" s="6">
        <f>O213*1.18</f>
        <v/>
      </c>
    </row>
    <row r="214">
      <c r="A214" s="2" t="n">
        <v>273640256</v>
      </c>
      <c r="B214" s="2" t="inlineStr">
        <is>
          <t>SERVO FLEET 15W-40-15 L</t>
        </is>
      </c>
      <c r="C214" s="3" t="inlineStr">
        <is>
          <t>BUC</t>
        </is>
      </c>
      <c r="D214" s="3" t="inlineStr">
        <is>
          <t>CVO</t>
        </is>
      </c>
      <c r="E214" s="3" t="n">
        <v>15</v>
      </c>
      <c r="F214" s="3" t="n">
        <v>15</v>
      </c>
      <c r="G214" s="3">
        <f>E214/F214</f>
        <v/>
      </c>
      <c r="H214" s="3" t="n">
        <v>5784</v>
      </c>
      <c r="I214" s="4" t="n">
        <v>4234.466399999999</v>
      </c>
      <c r="J214" s="4">
        <f>I214/1.18</f>
        <v/>
      </c>
      <c r="K214" s="5" t="n">
        <v>20</v>
      </c>
      <c r="L214" s="5">
        <f>(K214)*F214</f>
        <v/>
      </c>
      <c r="M214" s="4">
        <f>J214-L214</f>
        <v/>
      </c>
      <c r="N214" s="3" t="n"/>
      <c r="O214" s="4">
        <f>M214-N214</f>
        <v/>
      </c>
      <c r="P214" s="6">
        <f>O214*1.18</f>
        <v/>
      </c>
    </row>
    <row r="215">
      <c r="A215" s="2" t="n">
        <v>273640265</v>
      </c>
      <c r="B215" s="2" t="inlineStr">
        <is>
          <t>SERVO FLEET 15W-40-20 L</t>
        </is>
      </c>
      <c r="C215" s="3" t="inlineStr">
        <is>
          <t>BUC</t>
        </is>
      </c>
      <c r="D215" s="3" t="inlineStr">
        <is>
          <t>CVO</t>
        </is>
      </c>
      <c r="E215" s="3" t="n">
        <v>20</v>
      </c>
      <c r="F215" s="3" t="n">
        <v>20</v>
      </c>
      <c r="G215" s="3">
        <f>E215/F215</f>
        <v/>
      </c>
      <c r="H215" s="3" t="n">
        <v>7710</v>
      </c>
      <c r="I215" s="4" t="n">
        <v>5639.865</v>
      </c>
      <c r="J215" s="4">
        <f>I215/1.18</f>
        <v/>
      </c>
      <c r="K215" s="5" t="n">
        <v>20</v>
      </c>
      <c r="L215" s="5">
        <f>(K215)*F215</f>
        <v/>
      </c>
      <c r="M215" s="4">
        <f>J215-L215</f>
        <v/>
      </c>
      <c r="N215" s="3" t="n"/>
      <c r="O215" s="4">
        <f>M215-N215</f>
        <v/>
      </c>
      <c r="P215" s="6">
        <f>O215*1.18</f>
        <v/>
      </c>
    </row>
    <row r="216">
      <c r="A216" s="2" t="n">
        <v>273700184</v>
      </c>
      <c r="B216" s="2" t="inlineStr">
        <is>
          <t>SERVO FLEET XL 15W-40-20 X 1 L</t>
        </is>
      </c>
      <c r="C216" s="3" t="inlineStr">
        <is>
          <t>BUC</t>
        </is>
      </c>
      <c r="D216" s="3" t="inlineStr">
        <is>
          <t>CVO</t>
        </is>
      </c>
      <c r="E216" s="3" t="n">
        <v>20</v>
      </c>
      <c r="F216" s="3" t="n">
        <v>1</v>
      </c>
      <c r="G216" s="3">
        <f>E216/F216</f>
        <v/>
      </c>
      <c r="H216" s="3" t="n">
        <v>420</v>
      </c>
      <c r="I216" s="4" t="n">
        <v>305.004</v>
      </c>
      <c r="J216" s="4">
        <f>I216/1.18</f>
        <v/>
      </c>
      <c r="K216" s="5" t="n">
        <v>30</v>
      </c>
      <c r="L216" s="5">
        <f>(K216)*F216</f>
        <v/>
      </c>
      <c r="M216" s="4">
        <f>J216-L216</f>
        <v/>
      </c>
      <c r="N216" s="3" t="n"/>
      <c r="O216" s="4">
        <f>M216-N216</f>
        <v/>
      </c>
      <c r="P216" s="6">
        <f>O216*1.18</f>
        <v/>
      </c>
    </row>
    <row r="217">
      <c r="A217" s="2" t="n">
        <v>273700203</v>
      </c>
      <c r="B217" s="2" t="inlineStr">
        <is>
          <t>SERVO FLEET XL 15W-40-4 X 3 L</t>
        </is>
      </c>
      <c r="C217" s="3" t="inlineStr">
        <is>
          <t>BUC</t>
        </is>
      </c>
      <c r="D217" s="3" t="inlineStr">
        <is>
          <t>CVO</t>
        </is>
      </c>
      <c r="E217" s="3" t="n">
        <v>12</v>
      </c>
      <c r="F217" s="3" t="n">
        <v>3</v>
      </c>
      <c r="G217" s="3">
        <f>E217/F217</f>
        <v/>
      </c>
      <c r="H217" s="3" t="n">
        <v>1225</v>
      </c>
      <c r="I217" s="4" t="n">
        <v>885.0625</v>
      </c>
      <c r="J217" s="4">
        <f>I217/1.18</f>
        <v/>
      </c>
      <c r="K217" s="5" t="n">
        <v>25</v>
      </c>
      <c r="L217" s="5">
        <f>(K217)*F217</f>
        <v/>
      </c>
      <c r="M217" s="4">
        <f>J217-L217</f>
        <v/>
      </c>
      <c r="N217" s="3" t="n"/>
      <c r="O217" s="4">
        <f>M217-N217</f>
        <v/>
      </c>
      <c r="P217" s="6">
        <f>O217*1.18</f>
        <v/>
      </c>
    </row>
    <row r="218">
      <c r="A218" s="2" t="n">
        <v>273700234</v>
      </c>
      <c r="B218" s="2" t="inlineStr">
        <is>
          <t>SERVO FLEET XL 15W-40-4 X 5 L</t>
        </is>
      </c>
      <c r="C218" s="3" t="inlineStr">
        <is>
          <t>BUC</t>
        </is>
      </c>
      <c r="D218" s="3" t="inlineStr">
        <is>
          <t>CVO</t>
        </is>
      </c>
      <c r="E218" s="3" t="n">
        <v>20</v>
      </c>
      <c r="F218" s="3" t="n">
        <v>5</v>
      </c>
      <c r="G218" s="3">
        <f>E218/F218</f>
        <v/>
      </c>
      <c r="H218" s="3" t="n">
        <v>2072</v>
      </c>
      <c r="I218" s="4" t="n">
        <v>1486.2456</v>
      </c>
      <c r="J218" s="4">
        <f>I218/1.18</f>
        <v/>
      </c>
      <c r="K218" s="5" t="n">
        <v>25</v>
      </c>
      <c r="L218" s="5">
        <f>(K218)*F218</f>
        <v/>
      </c>
      <c r="M218" s="4">
        <f>J218-L218</f>
        <v/>
      </c>
      <c r="N218" s="3" t="n"/>
      <c r="O218" s="4">
        <f>M218-N218</f>
        <v/>
      </c>
      <c r="P218" s="6">
        <f>O218*1.18</f>
        <v/>
      </c>
    </row>
    <row r="219">
      <c r="A219" s="2" t="n">
        <v>273700242</v>
      </c>
      <c r="B219" s="2" t="inlineStr">
        <is>
          <t>SERVO FLEET XL 15W-40-10 L</t>
        </is>
      </c>
      <c r="C219" s="3" t="inlineStr">
        <is>
          <t>BUC</t>
        </is>
      </c>
      <c r="D219" s="3" t="inlineStr">
        <is>
          <t>CVO</t>
        </is>
      </c>
      <c r="E219" s="3" t="n">
        <v>10</v>
      </c>
      <c r="F219" s="3" t="n">
        <v>10</v>
      </c>
      <c r="G219" s="3">
        <f>E219/F219</f>
        <v/>
      </c>
      <c r="H219" s="3" t="n">
        <v>4143</v>
      </c>
      <c r="I219" s="4" t="n">
        <v>2999.1177</v>
      </c>
      <c r="J219" s="4">
        <f>I219/1.18</f>
        <v/>
      </c>
      <c r="K219" s="5" t="n">
        <v>25</v>
      </c>
      <c r="L219" s="5">
        <f>(K219)*F219</f>
        <v/>
      </c>
      <c r="M219" s="4">
        <f>J219-L219</f>
        <v/>
      </c>
      <c r="N219" s="3" t="n"/>
      <c r="O219" s="4">
        <f>M219-N219</f>
        <v/>
      </c>
      <c r="P219" s="6">
        <f>O219*1.18</f>
        <v/>
      </c>
    </row>
    <row r="220">
      <c r="A220" s="2" t="n">
        <v>273700251</v>
      </c>
      <c r="B220" s="2" t="inlineStr">
        <is>
          <t>SERVO FLEET XL 15W-40-7.5 L</t>
        </is>
      </c>
      <c r="C220" s="3" t="inlineStr">
        <is>
          <t>BUC</t>
        </is>
      </c>
      <c r="D220" s="3" t="inlineStr">
        <is>
          <t>CVO</t>
        </is>
      </c>
      <c r="E220" s="3" t="n">
        <v>7.5</v>
      </c>
      <c r="F220" s="3" t="n">
        <v>7.5</v>
      </c>
      <c r="G220" s="3">
        <f>E220/F220</f>
        <v/>
      </c>
      <c r="H220" s="3" t="n">
        <v>3099</v>
      </c>
      <c r="I220" s="4" t="n">
        <v>2249.874</v>
      </c>
      <c r="J220" s="4">
        <f>I220/1.18</f>
        <v/>
      </c>
      <c r="K220" s="5" t="n">
        <v>25</v>
      </c>
      <c r="L220" s="5">
        <f>(K220)*F220</f>
        <v/>
      </c>
      <c r="M220" s="4">
        <f>J220-L220</f>
        <v/>
      </c>
      <c r="N220" s="3" t="n"/>
      <c r="O220" s="4">
        <f>M220-N220</f>
        <v/>
      </c>
      <c r="P220" s="6">
        <f>O220*1.18</f>
        <v/>
      </c>
    </row>
    <row r="221">
      <c r="A221" s="2" t="n">
        <v>273700256</v>
      </c>
      <c r="B221" s="2" t="inlineStr">
        <is>
          <t>SERVO FLEET XL 15W-40-15 L</t>
        </is>
      </c>
      <c r="C221" s="3" t="inlineStr">
        <is>
          <t>BUC</t>
        </is>
      </c>
      <c r="D221" s="3" t="inlineStr">
        <is>
          <t>CVO</t>
        </is>
      </c>
      <c r="E221" s="3" t="n">
        <v>15</v>
      </c>
      <c r="F221" s="3" t="n">
        <v>15</v>
      </c>
      <c r="G221" s="3">
        <f>E221/F221</f>
        <v/>
      </c>
      <c r="H221" s="3" t="n">
        <v>6190</v>
      </c>
      <c r="I221" s="4" t="n">
        <v>4370.139999999999</v>
      </c>
      <c r="J221" s="4">
        <f>I221/1.18</f>
        <v/>
      </c>
      <c r="K221" s="5" t="n">
        <v>30</v>
      </c>
      <c r="L221" s="5">
        <f>(K221)*F221</f>
        <v/>
      </c>
      <c r="M221" s="4">
        <f>J221-L221</f>
        <v/>
      </c>
      <c r="N221" s="3" t="n"/>
      <c r="O221" s="4">
        <f>M221-N221</f>
        <v/>
      </c>
      <c r="P221" s="6">
        <f>O221*1.18</f>
        <v/>
      </c>
    </row>
    <row r="222">
      <c r="A222" s="2" t="n">
        <v>273700265</v>
      </c>
      <c r="B222" s="2" t="inlineStr">
        <is>
          <t>SERVO FLEET XL 15W-40-20 L</t>
        </is>
      </c>
      <c r="C222" s="3" t="inlineStr">
        <is>
          <t>BUC</t>
        </is>
      </c>
      <c r="D222" s="3" t="inlineStr">
        <is>
          <t>CVO</t>
        </is>
      </c>
      <c r="E222" s="3" t="n">
        <v>20</v>
      </c>
      <c r="F222" s="3" t="n">
        <v>20</v>
      </c>
      <c r="G222" s="3">
        <f>E222/F222</f>
        <v/>
      </c>
      <c r="H222" s="3" t="n">
        <v>8253</v>
      </c>
      <c r="I222" s="4" t="n">
        <v>5778.750599999999</v>
      </c>
      <c r="J222" s="4">
        <f>I222/1.18</f>
        <v/>
      </c>
      <c r="K222" s="5" t="n">
        <v>30</v>
      </c>
      <c r="L222" s="5">
        <f>(K222)*F222</f>
        <v/>
      </c>
      <c r="M222" s="4">
        <f>J222-L222</f>
        <v/>
      </c>
      <c r="N222" s="3" t="n"/>
      <c r="O222" s="4">
        <f>M222-N222</f>
        <v/>
      </c>
      <c r="P222" s="6">
        <f>O222*1.18</f>
        <v/>
      </c>
    </row>
    <row r="223">
      <c r="A223" s="2" t="n">
        <v>273760184</v>
      </c>
      <c r="B223" s="2" t="inlineStr">
        <is>
          <t>SERVO KISANPOWER TRACTOR OIL-20 X 1 L</t>
        </is>
      </c>
      <c r="C223" s="3" t="inlineStr">
        <is>
          <t>CAR</t>
        </is>
      </c>
      <c r="D223" s="3" t="inlineStr">
        <is>
          <t>AGRI</t>
        </is>
      </c>
      <c r="E223" s="3" t="n">
        <v>20</v>
      </c>
      <c r="F223" s="3" t="n">
        <v>1</v>
      </c>
      <c r="G223" s="3">
        <f>E223/F223</f>
        <v/>
      </c>
      <c r="H223" s="3" t="n">
        <v>410</v>
      </c>
      <c r="I223" s="4" t="n">
        <v>278.062</v>
      </c>
      <c r="J223" s="4">
        <f>I223/1.18</f>
        <v/>
      </c>
      <c r="K223" s="5" t="n">
        <v>10</v>
      </c>
      <c r="L223" s="5">
        <f>(K223)*F223</f>
        <v/>
      </c>
      <c r="M223" s="4">
        <f>J223-L223</f>
        <v/>
      </c>
      <c r="N223" s="3" t="n"/>
      <c r="O223" s="4">
        <f>M223-N223</f>
        <v/>
      </c>
      <c r="P223" s="6">
        <f>O223*1.18</f>
        <v/>
      </c>
    </row>
    <row r="224">
      <c r="A224" s="2" t="n">
        <v>273760244</v>
      </c>
      <c r="B224" s="2" t="inlineStr">
        <is>
          <t>SERVO KISANPOWER TRACTOR OIL-4 X 6 L</t>
        </is>
      </c>
      <c r="C224" s="3" t="inlineStr">
        <is>
          <t>CAR</t>
        </is>
      </c>
      <c r="D224" s="3" t="inlineStr">
        <is>
          <t>AGRI</t>
        </is>
      </c>
      <c r="E224" s="3" t="n">
        <v>24</v>
      </c>
      <c r="F224" s="3" t="n">
        <v>6</v>
      </c>
      <c r="G224" s="3">
        <f>E224/F224</f>
        <v/>
      </c>
      <c r="H224" s="3" t="n">
        <v>2460</v>
      </c>
      <c r="I224" s="4" t="n">
        <v>1658.532</v>
      </c>
      <c r="J224" s="4">
        <f>I224/1.18</f>
        <v/>
      </c>
      <c r="K224" s="5" t="n">
        <v>25</v>
      </c>
      <c r="L224" s="5">
        <f>(K224)*F224</f>
        <v/>
      </c>
      <c r="M224" s="4">
        <f>J224-L224</f>
        <v/>
      </c>
      <c r="N224" s="3" t="n"/>
      <c r="O224" s="4">
        <f>M224-N224</f>
        <v/>
      </c>
      <c r="P224" s="6">
        <f>O224*1.18</f>
        <v/>
      </c>
    </row>
    <row r="225">
      <c r="A225" s="2" t="n">
        <v>273760251</v>
      </c>
      <c r="B225" s="2" t="inlineStr">
        <is>
          <t>SERVO KISANPOWER TRACTOR OIL-7.5 L</t>
        </is>
      </c>
      <c r="C225" s="3" t="inlineStr">
        <is>
          <t>BUC</t>
        </is>
      </c>
      <c r="D225" s="3" t="inlineStr">
        <is>
          <t>AGRI</t>
        </is>
      </c>
      <c r="E225" s="3" t="n">
        <v>7.5</v>
      </c>
      <c r="F225" s="3" t="n">
        <v>7.5</v>
      </c>
      <c r="G225" s="3">
        <f>E225/F225</f>
        <v/>
      </c>
      <c r="H225" s="3" t="n">
        <v>3075</v>
      </c>
      <c r="I225" s="4" t="n">
        <v>2073.4725</v>
      </c>
      <c r="J225" s="4">
        <f>I225/1.18</f>
        <v/>
      </c>
      <c r="K225" s="5" t="n">
        <v>25</v>
      </c>
      <c r="L225" s="5">
        <f>(K225)*F225</f>
        <v/>
      </c>
      <c r="M225" s="4">
        <f>J225-L225</f>
        <v/>
      </c>
      <c r="N225" s="3" t="n"/>
      <c r="O225" s="4">
        <f>M225-N225</f>
        <v/>
      </c>
      <c r="P225" s="6">
        <f>O225*1.18</f>
        <v/>
      </c>
    </row>
    <row r="226">
      <c r="A226" s="2" t="n">
        <v>273760252</v>
      </c>
      <c r="B226" s="2" t="inlineStr">
        <is>
          <t>SERVO KISANPOWER TRACTOR OIL-8.5 L</t>
        </is>
      </c>
      <c r="C226" s="3" t="inlineStr">
        <is>
          <t>BUC</t>
        </is>
      </c>
      <c r="D226" s="3" t="inlineStr">
        <is>
          <t>AGRI</t>
        </is>
      </c>
      <c r="E226" s="3" t="n">
        <v>8.5</v>
      </c>
      <c r="F226" s="3" t="n">
        <v>8.5</v>
      </c>
      <c r="G226" s="3">
        <f>E226/F226</f>
        <v/>
      </c>
      <c r="H226" s="3" t="n">
        <v>3485</v>
      </c>
      <c r="I226" s="4" t="n">
        <v>2345.7535</v>
      </c>
      <c r="J226" s="4">
        <f>I226/1.18</f>
        <v/>
      </c>
      <c r="K226" s="5" t="n">
        <v>25</v>
      </c>
      <c r="L226" s="5">
        <f>(K226)*F226</f>
        <v/>
      </c>
      <c r="M226" s="4">
        <f>J226-L226</f>
        <v/>
      </c>
      <c r="N226" s="3" t="n"/>
      <c r="O226" s="4">
        <f>M226-N226</f>
        <v/>
      </c>
      <c r="P226" s="6">
        <f>O226*1.18</f>
        <v/>
      </c>
    </row>
    <row r="227">
      <c r="A227" s="2" t="n">
        <v>274730184</v>
      </c>
      <c r="B227" s="2" t="inlineStr">
        <is>
          <t>SERVO FLEET TC 15W-40-20 X 1 L</t>
        </is>
      </c>
      <c r="C227" s="3" t="inlineStr">
        <is>
          <t>BUC</t>
        </is>
      </c>
      <c r="D227" s="3" t="inlineStr">
        <is>
          <t>CVO</t>
        </is>
      </c>
      <c r="E227" s="3" t="n">
        <v>20</v>
      </c>
      <c r="F227" s="3" t="n">
        <v>1</v>
      </c>
      <c r="G227" s="3">
        <f>E227/F227</f>
        <v/>
      </c>
      <c r="H227" s="3" t="n">
        <v>400</v>
      </c>
      <c r="I227" s="4" t="n">
        <v>298.24</v>
      </c>
      <c r="J227" s="4">
        <f>I227/1.18</f>
        <v/>
      </c>
      <c r="K227" s="5" t="n">
        <v>20</v>
      </c>
      <c r="L227" s="5">
        <f>(K227)*F227</f>
        <v/>
      </c>
      <c r="M227" s="4">
        <f>J227-L227</f>
        <v/>
      </c>
      <c r="N227" s="3" t="n"/>
      <c r="O227" s="4">
        <f>M227-N227</f>
        <v/>
      </c>
      <c r="P227" s="6">
        <f>O227*1.18</f>
        <v/>
      </c>
    </row>
    <row r="228">
      <c r="A228" s="2" t="n">
        <v>274730203</v>
      </c>
      <c r="B228" s="2" t="inlineStr">
        <is>
          <t>SERVO FLEET TC 15W-40-4 X 3 L</t>
        </is>
      </c>
      <c r="C228" s="3" t="inlineStr">
        <is>
          <t>BUC</t>
        </is>
      </c>
      <c r="D228" s="3" t="inlineStr">
        <is>
          <t>CVO</t>
        </is>
      </c>
      <c r="E228" s="3" t="n">
        <v>12</v>
      </c>
      <c r="F228" s="3" t="n">
        <v>3</v>
      </c>
      <c r="G228" s="3">
        <f>E228/F228</f>
        <v/>
      </c>
      <c r="H228" s="3" t="n">
        <v>1175</v>
      </c>
      <c r="I228" s="4" t="n">
        <v>887.125</v>
      </c>
      <c r="J228" s="4">
        <f>I228/1.18</f>
        <v/>
      </c>
      <c r="K228" s="5" t="n">
        <v>20</v>
      </c>
      <c r="L228" s="5">
        <f>(K228)*F228</f>
        <v/>
      </c>
      <c r="M228" s="4">
        <f>J228-L228</f>
        <v/>
      </c>
      <c r="N228" s="3" t="n"/>
      <c r="O228" s="4">
        <f>M228-N228</f>
        <v/>
      </c>
      <c r="P228" s="6">
        <f>O228*1.18</f>
        <v/>
      </c>
    </row>
    <row r="229">
      <c r="A229" s="2" t="n">
        <v>274730234</v>
      </c>
      <c r="B229" s="2" t="inlineStr">
        <is>
          <t>SERVO FLEET TC 15W-40-4 X 5 L</t>
        </is>
      </c>
      <c r="C229" s="3" t="inlineStr">
        <is>
          <t>BUC</t>
        </is>
      </c>
      <c r="D229" s="3" t="inlineStr">
        <is>
          <t>CVO</t>
        </is>
      </c>
      <c r="E229" s="3" t="n">
        <v>20</v>
      </c>
      <c r="F229" s="3" t="n">
        <v>5</v>
      </c>
      <c r="G229" s="3">
        <f>E229/F229</f>
        <v/>
      </c>
      <c r="H229" s="3" t="n">
        <v>1920</v>
      </c>
      <c r="I229" s="4" t="n">
        <v>1474.752</v>
      </c>
      <c r="J229" s="4">
        <f>I229/1.18</f>
        <v/>
      </c>
      <c r="K229" s="5" t="n">
        <v>20</v>
      </c>
      <c r="L229" s="5">
        <f>(K229)*F229</f>
        <v/>
      </c>
      <c r="M229" s="4">
        <f>J229-L229</f>
        <v/>
      </c>
      <c r="N229" s="3" t="n"/>
      <c r="O229" s="4">
        <f>M229-N229</f>
        <v/>
      </c>
      <c r="P229" s="6">
        <f>O229*1.18</f>
        <v/>
      </c>
    </row>
    <row r="230">
      <c r="A230" s="2" t="n">
        <v>274730242</v>
      </c>
      <c r="B230" s="2" t="inlineStr">
        <is>
          <t>SERVO FLEET TC 15W-40-10 L</t>
        </is>
      </c>
      <c r="C230" s="3" t="inlineStr">
        <is>
          <t>BUC</t>
        </is>
      </c>
      <c r="D230" s="3" t="inlineStr">
        <is>
          <t>CVO</t>
        </is>
      </c>
      <c r="E230" s="3" t="n">
        <v>10</v>
      </c>
      <c r="F230" s="3" t="n">
        <v>10</v>
      </c>
      <c r="G230" s="3">
        <f>E230/F230</f>
        <v/>
      </c>
      <c r="H230" s="3" t="n">
        <v>3850</v>
      </c>
      <c r="I230" s="4" t="n">
        <v>2890.965</v>
      </c>
      <c r="J230" s="4">
        <f>I230/1.18</f>
        <v/>
      </c>
      <c r="K230" s="5" t="n">
        <v>20</v>
      </c>
      <c r="L230" s="5">
        <f>(K230)*F230</f>
        <v/>
      </c>
      <c r="M230" s="4">
        <f>J230-L230</f>
        <v/>
      </c>
      <c r="N230" s="3" t="n"/>
      <c r="O230" s="4">
        <f>M230-N230</f>
        <v/>
      </c>
      <c r="P230" s="6">
        <f>O230*1.18</f>
        <v/>
      </c>
    </row>
    <row r="231">
      <c r="A231" s="2" t="n">
        <v>274730251</v>
      </c>
      <c r="B231" s="2" t="inlineStr">
        <is>
          <t>SERVO FLEET TC 15W-40-7.5 L</t>
        </is>
      </c>
      <c r="C231" s="3" t="inlineStr">
        <is>
          <t>BUC</t>
        </is>
      </c>
      <c r="D231" s="3" t="inlineStr">
        <is>
          <t>CVO</t>
        </is>
      </c>
      <c r="E231" s="3" t="n">
        <v>7.5</v>
      </c>
      <c r="F231" s="3" t="n">
        <v>7.5</v>
      </c>
      <c r="G231" s="3">
        <f>E231/F231</f>
        <v/>
      </c>
      <c r="H231" s="3" t="n">
        <v>2850</v>
      </c>
      <c r="I231" s="4" t="n">
        <v>2181.39</v>
      </c>
      <c r="J231" s="4">
        <f>I231/1.18</f>
        <v/>
      </c>
      <c r="K231" s="5" t="n">
        <v>15</v>
      </c>
      <c r="L231" s="5">
        <f>(K231)*F231</f>
        <v/>
      </c>
      <c r="M231" s="4">
        <f>J231-L231</f>
        <v/>
      </c>
      <c r="N231" s="3" t="n"/>
      <c r="O231" s="4">
        <f>M231-N231</f>
        <v/>
      </c>
      <c r="P231" s="6">
        <f>O231*1.18</f>
        <v/>
      </c>
    </row>
    <row r="232">
      <c r="A232" s="2" t="n">
        <v>274730256</v>
      </c>
      <c r="B232" s="2" t="inlineStr">
        <is>
          <t>SERVO FLEET TC 15W-40-15 L</t>
        </is>
      </c>
      <c r="C232" s="3" t="inlineStr">
        <is>
          <t>BUC</t>
        </is>
      </c>
      <c r="D232" s="3" t="inlineStr">
        <is>
          <t>CVO</t>
        </is>
      </c>
      <c r="E232" s="3" t="n">
        <v>15</v>
      </c>
      <c r="F232" s="3" t="n">
        <v>15</v>
      </c>
      <c r="G232" s="3">
        <f>E232/F232</f>
        <v/>
      </c>
      <c r="H232" s="3" t="n">
        <v>5799</v>
      </c>
      <c r="I232" s="4" t="n">
        <v>4305.1776</v>
      </c>
      <c r="J232" s="4">
        <f>I232/1.18</f>
        <v/>
      </c>
      <c r="K232" s="5" t="n">
        <v>20</v>
      </c>
      <c r="L232" s="5">
        <f>(K232)*F232</f>
        <v/>
      </c>
      <c r="M232" s="4">
        <f>J232-L232</f>
        <v/>
      </c>
      <c r="N232" s="3" t="n"/>
      <c r="O232" s="4">
        <f>M232-N232</f>
        <v/>
      </c>
      <c r="P232" s="6">
        <f>O232*1.18</f>
        <v/>
      </c>
    </row>
    <row r="233">
      <c r="A233" s="2" t="n">
        <v>274730265</v>
      </c>
      <c r="B233" s="2" t="inlineStr">
        <is>
          <t>SERVO FLEET TC 15W-40-20 L</t>
        </is>
      </c>
      <c r="C233" s="3" t="inlineStr">
        <is>
          <t>BUC</t>
        </is>
      </c>
      <c r="D233" s="3" t="inlineStr">
        <is>
          <t>CVO</t>
        </is>
      </c>
      <c r="E233" s="3" t="n">
        <v>20</v>
      </c>
      <c r="F233" s="3" t="n">
        <v>20</v>
      </c>
      <c r="G233" s="3">
        <f>E233/F233</f>
        <v/>
      </c>
      <c r="H233" s="3" t="n">
        <v>7714</v>
      </c>
      <c r="I233" s="4" t="n">
        <v>5733.8162</v>
      </c>
      <c r="J233" s="4">
        <f>I233/1.18</f>
        <v/>
      </c>
      <c r="K233" s="5" t="n">
        <v>20</v>
      </c>
      <c r="L233" s="5">
        <f>(K233)*F233</f>
        <v/>
      </c>
      <c r="M233" s="4">
        <f>J233-L233</f>
        <v/>
      </c>
      <c r="N233" s="3" t="n"/>
      <c r="O233" s="4">
        <f>M233-N233</f>
        <v/>
      </c>
      <c r="P233" s="6">
        <f>O233*1.18</f>
        <v/>
      </c>
    </row>
    <row r="234">
      <c r="A234" s="2" t="n">
        <v>274850174</v>
      </c>
      <c r="B234" s="2" t="inlineStr">
        <is>
          <t>SERVO FLEET 20W-40-40 X 1/2 L</t>
        </is>
      </c>
      <c r="C234" s="3" t="inlineStr">
        <is>
          <t>CAR</t>
        </is>
      </c>
      <c r="D234" s="3" t="inlineStr">
        <is>
          <t>CVO</t>
        </is>
      </c>
      <c r="E234" s="3" t="n">
        <v>20</v>
      </c>
      <c r="F234" s="3" t="n">
        <v>0.5</v>
      </c>
      <c r="G234" s="3">
        <f>E234/F234</f>
        <v/>
      </c>
      <c r="H234" s="3" t="n">
        <v>199</v>
      </c>
      <c r="I234" s="4" t="n">
        <v>153.5882</v>
      </c>
      <c r="J234" s="4">
        <f>I234/1.18</f>
        <v/>
      </c>
      <c r="K234" s="5" t="n">
        <v>0</v>
      </c>
      <c r="L234" s="5">
        <f>(K234)*F234</f>
        <v/>
      </c>
      <c r="M234" s="4">
        <f>J234-L234</f>
        <v/>
      </c>
      <c r="N234" s="3" t="n"/>
      <c r="O234" s="4">
        <f>M234-N234</f>
        <v/>
      </c>
      <c r="P234" s="6">
        <f>O234*1.18</f>
        <v/>
      </c>
    </row>
    <row r="235">
      <c r="A235" s="2" t="n">
        <v>274850175</v>
      </c>
      <c r="B235" s="2" t="inlineStr">
        <is>
          <t>SERVO FLEET 20W-40-20 X 1/2 L</t>
        </is>
      </c>
      <c r="C235" s="3" t="inlineStr">
        <is>
          <t>BUC</t>
        </is>
      </c>
      <c r="D235" s="3" t="inlineStr">
        <is>
          <t>CVO</t>
        </is>
      </c>
      <c r="E235" s="3" t="n">
        <v>10</v>
      </c>
      <c r="F235" s="3" t="n">
        <v>0.5</v>
      </c>
      <c r="G235" s="3">
        <f>E235/F235</f>
        <v/>
      </c>
      <c r="H235" s="3" t="n">
        <v>199</v>
      </c>
      <c r="I235" s="4" t="n">
        <v>153.5882</v>
      </c>
      <c r="J235" s="4">
        <f>I235/1.18</f>
        <v/>
      </c>
      <c r="K235" s="5" t="n">
        <v>0</v>
      </c>
      <c r="L235" s="5">
        <f>(K235)*F235</f>
        <v/>
      </c>
      <c r="M235" s="4">
        <f>J235-L235</f>
        <v/>
      </c>
      <c r="N235" s="3" t="n"/>
      <c r="O235" s="4">
        <f>M235-N235</f>
        <v/>
      </c>
      <c r="P235" s="6">
        <f>O235*1.18</f>
        <v/>
      </c>
    </row>
    <row r="236">
      <c r="A236" s="2" t="n">
        <v>274850184</v>
      </c>
      <c r="B236" s="2" t="inlineStr">
        <is>
          <t>SERVO FLEET 20W-40-20 X 1 L</t>
        </is>
      </c>
      <c r="C236" s="3" t="inlineStr">
        <is>
          <t>BUC</t>
        </is>
      </c>
      <c r="D236" s="3" t="inlineStr">
        <is>
          <t>CVO</t>
        </is>
      </c>
      <c r="E236" s="3" t="n">
        <v>20</v>
      </c>
      <c r="F236" s="3" t="n">
        <v>1</v>
      </c>
      <c r="G236" s="3">
        <f>E236/F236</f>
        <v/>
      </c>
      <c r="H236" s="3" t="n">
        <v>385</v>
      </c>
      <c r="I236" s="4" t="n">
        <v>285.3235</v>
      </c>
      <c r="J236" s="4">
        <f>I236/1.18</f>
        <v/>
      </c>
      <c r="K236" s="5" t="n">
        <v>20</v>
      </c>
      <c r="L236" s="5">
        <f>(K236)*F236</f>
        <v/>
      </c>
      <c r="M236" s="4">
        <f>J236-L236</f>
        <v/>
      </c>
      <c r="N236" s="3" t="n"/>
      <c r="O236" s="4">
        <f>M236-N236</f>
        <v/>
      </c>
      <c r="P236" s="6">
        <f>O236*1.18</f>
        <v/>
      </c>
    </row>
    <row r="237">
      <c r="A237" s="2" t="n">
        <v>274850203</v>
      </c>
      <c r="B237" s="2" t="inlineStr">
        <is>
          <t>SERVO FLEET 20W-40-4 X 3 L</t>
        </is>
      </c>
      <c r="C237" s="3" t="inlineStr">
        <is>
          <t>BUC</t>
        </is>
      </c>
      <c r="D237" s="3" t="inlineStr">
        <is>
          <t>CVO</t>
        </is>
      </c>
      <c r="E237" s="3" t="n">
        <v>12</v>
      </c>
      <c r="F237" s="3" t="n">
        <v>3</v>
      </c>
      <c r="G237" s="3">
        <f>E237/F237</f>
        <v/>
      </c>
      <c r="H237" s="3" t="n">
        <v>1125</v>
      </c>
      <c r="I237" s="4" t="n">
        <v>830.7</v>
      </c>
      <c r="J237" s="4">
        <f>I237/1.18</f>
        <v/>
      </c>
      <c r="K237" s="5" t="n">
        <v>20</v>
      </c>
      <c r="L237" s="5">
        <f>(K237)*F237</f>
        <v/>
      </c>
      <c r="M237" s="4">
        <f>J237-L237</f>
        <v/>
      </c>
      <c r="N237" s="3" t="n"/>
      <c r="O237" s="4">
        <f>M237-N237</f>
        <v/>
      </c>
      <c r="P237" s="6">
        <f>O237*1.18</f>
        <v/>
      </c>
    </row>
    <row r="238">
      <c r="A238" s="2" t="n">
        <v>274850225</v>
      </c>
      <c r="B238" s="2" t="inlineStr">
        <is>
          <t>SERVO FLEET 20W-40-20 X 1.2 L</t>
        </is>
      </c>
      <c r="C238" s="3" t="inlineStr">
        <is>
          <t>BUC</t>
        </is>
      </c>
      <c r="D238" s="3" t="inlineStr">
        <is>
          <t>CVO</t>
        </is>
      </c>
      <c r="E238" s="3" t="n">
        <v>24</v>
      </c>
      <c r="F238" s="3" t="n">
        <v>1.2</v>
      </c>
      <c r="G238" s="3">
        <f>E238/F238</f>
        <v/>
      </c>
      <c r="H238" s="3" t="n">
        <v>465</v>
      </c>
      <c r="I238" s="4" t="n">
        <v>350.0055</v>
      </c>
      <c r="J238" s="4">
        <f>I238/1.18</f>
        <v/>
      </c>
      <c r="K238" s="5" t="n">
        <v>20</v>
      </c>
      <c r="L238" s="5">
        <f>(K238)*F238</f>
        <v/>
      </c>
      <c r="M238" s="4">
        <f>J238-L238</f>
        <v/>
      </c>
      <c r="N238" s="3" t="n"/>
      <c r="O238" s="4">
        <f>M238-N238</f>
        <v/>
      </c>
      <c r="P238" s="6">
        <f>O238*1.18</f>
        <v/>
      </c>
    </row>
    <row r="239">
      <c r="A239" s="2" t="n">
        <v>274850234</v>
      </c>
      <c r="B239" s="2" t="inlineStr">
        <is>
          <t>SERVO FLEET 20W-40-4 X 5 L</t>
        </is>
      </c>
      <c r="C239" s="3" t="inlineStr">
        <is>
          <t>BUC</t>
        </is>
      </c>
      <c r="D239" s="3" t="inlineStr">
        <is>
          <t>CVO</t>
        </is>
      </c>
      <c r="E239" s="3" t="n">
        <v>20</v>
      </c>
      <c r="F239" s="3" t="n">
        <v>5</v>
      </c>
      <c r="G239" s="3">
        <f>E239/F239</f>
        <v/>
      </c>
      <c r="H239" s="3" t="n">
        <v>1854</v>
      </c>
      <c r="I239" s="4" t="n">
        <v>1381.0446</v>
      </c>
      <c r="J239" s="4">
        <f>I239/1.18</f>
        <v/>
      </c>
      <c r="K239" s="5" t="n">
        <v>20</v>
      </c>
      <c r="L239" s="5">
        <f>(K239)*F239</f>
        <v/>
      </c>
      <c r="M239" s="4">
        <f>J239-L239</f>
        <v/>
      </c>
      <c r="N239" s="3" t="n"/>
      <c r="O239" s="4">
        <f>M239-N239</f>
        <v/>
      </c>
      <c r="P239" s="6">
        <f>O239*1.18</f>
        <v/>
      </c>
    </row>
    <row r="240">
      <c r="A240" s="2" t="n">
        <v>274850242</v>
      </c>
      <c r="B240" s="2" t="inlineStr">
        <is>
          <t>SERVO FLEET 20W-40-10 L</t>
        </is>
      </c>
      <c r="C240" s="3" t="inlineStr">
        <is>
          <t>BUC</t>
        </is>
      </c>
      <c r="D240" s="3" t="inlineStr">
        <is>
          <t>CVO</t>
        </is>
      </c>
      <c r="E240" s="3" t="n">
        <v>10</v>
      </c>
      <c r="F240" s="3" t="n">
        <v>10</v>
      </c>
      <c r="G240" s="3">
        <f>E240/F240</f>
        <v/>
      </c>
      <c r="H240" s="3" t="n">
        <v>3704</v>
      </c>
      <c r="I240" s="4" t="n">
        <v>2741.3304</v>
      </c>
      <c r="J240" s="4">
        <f>I240/1.18</f>
        <v/>
      </c>
      <c r="K240" s="5" t="n">
        <v>20</v>
      </c>
      <c r="L240" s="5">
        <f>(K240)*F240</f>
        <v/>
      </c>
      <c r="M240" s="4">
        <f>J240-L240</f>
        <v/>
      </c>
      <c r="N240" s="3" t="n"/>
      <c r="O240" s="4">
        <f>M240-N240</f>
        <v/>
      </c>
      <c r="P240" s="6">
        <f>O240*1.18</f>
        <v/>
      </c>
    </row>
    <row r="241">
      <c r="A241" s="2" t="n">
        <v>274850244</v>
      </c>
      <c r="B241" s="2" t="inlineStr">
        <is>
          <t>SERVO FLEET 20W-40-4 X 6 L</t>
        </is>
      </c>
      <c r="C241" s="3" t="inlineStr">
        <is>
          <t>BUC</t>
        </is>
      </c>
      <c r="D241" s="3" t="inlineStr">
        <is>
          <t>CVO</t>
        </is>
      </c>
      <c r="E241" s="3" t="n">
        <v>24</v>
      </c>
      <c r="F241" s="3" t="n">
        <v>6</v>
      </c>
      <c r="G241" s="3">
        <f>E241/F241</f>
        <v/>
      </c>
      <c r="H241" s="3" t="n">
        <v>2234</v>
      </c>
      <c r="I241" s="4" t="n">
        <v>1675.0532</v>
      </c>
      <c r="J241" s="4">
        <f>I241/1.18</f>
        <v/>
      </c>
      <c r="K241" s="5" t="n">
        <v>20</v>
      </c>
      <c r="L241" s="5">
        <f>(K241)*F241</f>
        <v/>
      </c>
      <c r="M241" s="4">
        <f>J241-L241</f>
        <v/>
      </c>
      <c r="N241" s="3" t="n"/>
      <c r="O241" s="4">
        <f>M241-N241</f>
        <v/>
      </c>
      <c r="P241" s="6">
        <f>O241*1.18</f>
        <v/>
      </c>
    </row>
    <row r="242">
      <c r="A242" s="2" t="n">
        <v>274850251</v>
      </c>
      <c r="B242" s="2" t="inlineStr">
        <is>
          <t>SERVO FLEET 20W-40-7.5 L</t>
        </is>
      </c>
      <c r="C242" s="3" t="inlineStr">
        <is>
          <t>BUC</t>
        </is>
      </c>
      <c r="D242" s="3" t="inlineStr">
        <is>
          <t>CVO</t>
        </is>
      </c>
      <c r="E242" s="3" t="n">
        <v>7.5</v>
      </c>
      <c r="F242" s="3" t="n">
        <v>7.5</v>
      </c>
      <c r="G242" s="3">
        <f>E242/F242</f>
        <v/>
      </c>
      <c r="H242" s="3" t="n">
        <v>2795</v>
      </c>
      <c r="I242" s="4" t="n">
        <v>2099.8835</v>
      </c>
      <c r="J242" s="4">
        <f>I242/1.18</f>
        <v/>
      </c>
      <c r="K242" s="5" t="n">
        <v>20</v>
      </c>
      <c r="L242" s="5">
        <f>(K242)*F242</f>
        <v/>
      </c>
      <c r="M242" s="4">
        <f>J242-L242</f>
        <v/>
      </c>
      <c r="N242" s="3" t="n"/>
      <c r="O242" s="4">
        <f>M242-N242</f>
        <v/>
      </c>
      <c r="P242" s="6">
        <f>O242*1.18</f>
        <v/>
      </c>
    </row>
    <row r="243">
      <c r="A243" s="2" t="n">
        <v>274850256</v>
      </c>
      <c r="B243" s="2" t="inlineStr">
        <is>
          <t>SERVO FLEET 20W-40-15 L</t>
        </is>
      </c>
      <c r="C243" s="3" t="inlineStr">
        <is>
          <t>BUC</t>
        </is>
      </c>
      <c r="D243" s="3" t="inlineStr">
        <is>
          <t>CVO</t>
        </is>
      </c>
      <c r="E243" s="3" t="n">
        <v>15</v>
      </c>
      <c r="F243" s="3" t="n">
        <v>15</v>
      </c>
      <c r="G243" s="3">
        <f>E243/F243</f>
        <v/>
      </c>
      <c r="H243" s="3" t="n">
        <v>5548</v>
      </c>
      <c r="I243" s="4" t="n">
        <v>4081.1088</v>
      </c>
      <c r="J243" s="4">
        <f>I243/1.18</f>
        <v/>
      </c>
      <c r="K243" s="5" t="n">
        <v>20</v>
      </c>
      <c r="L243" s="5">
        <f>(K243)*F243</f>
        <v/>
      </c>
      <c r="M243" s="4">
        <f>J243-L243</f>
        <v/>
      </c>
      <c r="N243" s="3" t="n"/>
      <c r="O243" s="4">
        <f>M243-N243</f>
        <v/>
      </c>
      <c r="P243" s="6">
        <f>O243*1.18</f>
        <v/>
      </c>
    </row>
    <row r="244">
      <c r="A244" s="2" t="n">
        <v>274850265</v>
      </c>
      <c r="B244" s="2" t="inlineStr">
        <is>
          <t>SERVO FLEET 20W-40-20 L</t>
        </is>
      </c>
      <c r="C244" s="3" t="inlineStr">
        <is>
          <t>BUC</t>
        </is>
      </c>
      <c r="D244" s="3" t="inlineStr">
        <is>
          <t>CVO</t>
        </is>
      </c>
      <c r="E244" s="3" t="n">
        <v>20</v>
      </c>
      <c r="F244" s="3" t="n">
        <v>20</v>
      </c>
      <c r="G244" s="3">
        <f>E244/F244</f>
        <v/>
      </c>
      <c r="H244" s="3" t="n">
        <v>7395</v>
      </c>
      <c r="I244" s="4" t="n">
        <v>5433.846</v>
      </c>
      <c r="J244" s="4">
        <f>I244/1.18</f>
        <v/>
      </c>
      <c r="K244" s="5" t="n">
        <v>20</v>
      </c>
      <c r="L244" s="5">
        <f>(K244)*F244</f>
        <v/>
      </c>
      <c r="M244" s="4">
        <f>J244-L244</f>
        <v/>
      </c>
      <c r="N244" s="3" t="n"/>
      <c r="O244" s="4">
        <f>M244-N244</f>
        <v/>
      </c>
      <c r="P244" s="6">
        <f>O244*1.18</f>
        <v/>
      </c>
    </row>
    <row r="245">
      <c r="A245" s="2" t="n">
        <v>275140184</v>
      </c>
      <c r="B245" s="2" t="inlineStr">
        <is>
          <t>SERVO FLEET 20W-50-20 X 1 L</t>
        </is>
      </c>
      <c r="C245" s="3" t="inlineStr">
        <is>
          <t>BUC</t>
        </is>
      </c>
      <c r="D245" s="3" t="inlineStr">
        <is>
          <t>CVO</t>
        </is>
      </c>
      <c r="E245" s="3" t="n">
        <v>20</v>
      </c>
      <c r="F245" s="3" t="n">
        <v>1</v>
      </c>
      <c r="G245" s="3">
        <f>E245/F245</f>
        <v/>
      </c>
      <c r="H245" s="3" t="n">
        <v>396</v>
      </c>
      <c r="I245" s="4" t="n">
        <v>279.8136</v>
      </c>
      <c r="J245" s="4">
        <f>I245/1.18</f>
        <v/>
      </c>
      <c r="K245" s="5" t="n">
        <v>20</v>
      </c>
      <c r="L245" s="5">
        <f>(K245)*F245</f>
        <v/>
      </c>
      <c r="M245" s="4">
        <f>J245-L245</f>
        <v/>
      </c>
      <c r="N245" s="3" t="n"/>
      <c r="O245" s="4">
        <f>M245-N245</f>
        <v/>
      </c>
      <c r="P245" s="6">
        <f>O245*1.18</f>
        <v/>
      </c>
    </row>
    <row r="246">
      <c r="A246" s="2" t="n">
        <v>275140203</v>
      </c>
      <c r="B246" s="2" t="inlineStr">
        <is>
          <t>SERVO FLEET 20W-50-4 X 3 L</t>
        </is>
      </c>
      <c r="C246" s="3" t="inlineStr">
        <is>
          <t>BUC</t>
        </is>
      </c>
      <c r="D246" s="3" t="inlineStr">
        <is>
          <t>CVO</t>
        </is>
      </c>
      <c r="E246" s="3" t="n">
        <v>12</v>
      </c>
      <c r="F246" s="3" t="n">
        <v>3</v>
      </c>
      <c r="G246" s="3">
        <f>E246/F246</f>
        <v/>
      </c>
      <c r="H246" s="3" t="n">
        <v>1187</v>
      </c>
      <c r="I246" s="4" t="n">
        <v>840.0398999999999</v>
      </c>
      <c r="J246" s="4">
        <f>I246/1.18</f>
        <v/>
      </c>
      <c r="K246" s="5" t="n">
        <v>20</v>
      </c>
      <c r="L246" s="5">
        <f>(K246)*F246</f>
        <v/>
      </c>
      <c r="M246" s="4">
        <f>J246-L246</f>
        <v/>
      </c>
      <c r="N246" s="3" t="n"/>
      <c r="O246" s="4">
        <f>M246-N246</f>
        <v/>
      </c>
      <c r="P246" s="6">
        <f>O246*1.18</f>
        <v/>
      </c>
    </row>
    <row r="247">
      <c r="A247" s="2" t="n">
        <v>275140234</v>
      </c>
      <c r="B247" s="2" t="inlineStr">
        <is>
          <t>SERVO FLEET 20W-50-4 X 5 L</t>
        </is>
      </c>
      <c r="C247" s="3" t="inlineStr">
        <is>
          <t>BUC</t>
        </is>
      </c>
      <c r="D247" s="3" t="inlineStr">
        <is>
          <t>CVO</t>
        </is>
      </c>
      <c r="E247" s="3" t="n">
        <v>20</v>
      </c>
      <c r="F247" s="3" t="n">
        <v>5</v>
      </c>
      <c r="G247" s="3">
        <f>E247/F247</f>
        <v/>
      </c>
      <c r="H247" s="3" t="n">
        <v>1963</v>
      </c>
      <c r="I247" s="4" t="n">
        <v>1391.1781</v>
      </c>
      <c r="J247" s="4">
        <f>I247/1.18</f>
        <v/>
      </c>
      <c r="K247" s="5" t="n">
        <v>20</v>
      </c>
      <c r="L247" s="5">
        <f>(K247)*F247</f>
        <v/>
      </c>
      <c r="M247" s="4">
        <f>J247-L247</f>
        <v/>
      </c>
      <c r="N247" s="3" t="n"/>
      <c r="O247" s="4">
        <f>M247-N247</f>
        <v/>
      </c>
      <c r="P247" s="6">
        <f>O247*1.18</f>
        <v/>
      </c>
    </row>
    <row r="248">
      <c r="A248" s="2" t="n">
        <v>428860156</v>
      </c>
      <c r="B248" s="2" t="inlineStr">
        <is>
          <t xml:space="preserve">SERVO ZOOM SCOOTER 10W-30-20X0.8 L </t>
        </is>
      </c>
      <c r="C248" s="3" t="inlineStr">
        <is>
          <t>CAR</t>
        </is>
      </c>
      <c r="D248" s="3" t="inlineStr">
        <is>
          <t>MCO</t>
        </is>
      </c>
      <c r="E248" s="3" t="n">
        <v>16</v>
      </c>
      <c r="F248" s="3" t="n">
        <v>0.8</v>
      </c>
      <c r="G248" s="3">
        <f>E248/F248</f>
        <v/>
      </c>
      <c r="H248" s="3" t="n">
        <v>489</v>
      </c>
      <c r="I248" s="4" t="n">
        <v>324.9894</v>
      </c>
      <c r="J248" s="4">
        <f>I248/1.18</f>
        <v/>
      </c>
      <c r="K248" s="5" t="n">
        <v>35</v>
      </c>
      <c r="L248" s="5">
        <f>(K248)*F248</f>
        <v/>
      </c>
      <c r="M248" s="4">
        <f>J248-L248</f>
        <v/>
      </c>
      <c r="N248" s="3" t="n"/>
      <c r="O248" s="4">
        <f>M248-N248</f>
        <v/>
      </c>
      <c r="P248" s="6">
        <f>O248*1.18</f>
        <v/>
      </c>
    </row>
    <row r="249">
      <c r="A249" s="2" t="n">
        <v>429000103</v>
      </c>
      <c r="B249" s="2" t="inlineStr">
        <is>
          <t>SERVO ZOOM 2T SUPREME-600 X 20 ML POU</t>
        </is>
      </c>
      <c r="C249" s="3" t="inlineStr">
        <is>
          <t>CAR</t>
        </is>
      </c>
      <c r="D249" s="3" t="inlineStr">
        <is>
          <t>2T</t>
        </is>
      </c>
      <c r="E249" s="3" t="n">
        <v>12</v>
      </c>
      <c r="F249" s="3" t="n">
        <v>0.02</v>
      </c>
      <c r="G249" s="3">
        <f>E249/F249</f>
        <v/>
      </c>
      <c r="H249" s="3" t="n">
        <v>14</v>
      </c>
      <c r="I249" s="4" t="n">
        <v>8.839600000000001</v>
      </c>
      <c r="J249" s="4">
        <f>I249/1.18</f>
        <v/>
      </c>
      <c r="K249" s="5" t="n">
        <v>0</v>
      </c>
      <c r="L249" s="5">
        <f>(K249)*F249</f>
        <v/>
      </c>
      <c r="M249" s="4">
        <f>J249-L249</f>
        <v/>
      </c>
      <c r="N249" s="3" t="n"/>
      <c r="O249" s="4">
        <f>M249-N249</f>
        <v/>
      </c>
      <c r="P249" s="6">
        <f>O249*1.18</f>
        <v/>
      </c>
    </row>
    <row r="250">
      <c r="A250" s="2" t="n">
        <v>429000125</v>
      </c>
      <c r="B250" s="2" t="inlineStr">
        <is>
          <t>SERVO ZOOM 2T SUPREME-300 X 40 ML POU</t>
        </is>
      </c>
      <c r="C250" s="3" t="inlineStr">
        <is>
          <t>CAR</t>
        </is>
      </c>
      <c r="D250" s="3" t="inlineStr">
        <is>
          <t>2T</t>
        </is>
      </c>
      <c r="E250" s="3" t="n">
        <v>12</v>
      </c>
      <c r="F250" s="3" t="n">
        <v>0.04</v>
      </c>
      <c r="G250" s="3">
        <f>E250/F250</f>
        <v/>
      </c>
      <c r="H250" s="3" t="n">
        <v>23</v>
      </c>
      <c r="I250" s="4" t="n">
        <v>16.1299</v>
      </c>
      <c r="J250" s="4">
        <f>I250/1.18</f>
        <v/>
      </c>
      <c r="K250" s="5" t="n">
        <v>0</v>
      </c>
      <c r="L250" s="5">
        <f>(K250)*F250</f>
        <v/>
      </c>
      <c r="M250" s="4">
        <f>J250-L250</f>
        <v/>
      </c>
      <c r="N250" s="3" t="n"/>
      <c r="O250" s="4">
        <f>M250-N250</f>
        <v/>
      </c>
      <c r="P250" s="6">
        <f>O250*1.18</f>
        <v/>
      </c>
    </row>
    <row r="251">
      <c r="A251" s="2" t="n">
        <v>429000145</v>
      </c>
      <c r="B251" s="2" t="inlineStr">
        <is>
          <t>SERVO ZOOM 2T SUPREME-200 X 60 ML POU</t>
        </is>
      </c>
      <c r="C251" s="3" t="inlineStr">
        <is>
          <t>CAR</t>
        </is>
      </c>
      <c r="D251" s="3" t="inlineStr">
        <is>
          <t>2T</t>
        </is>
      </c>
      <c r="E251" s="3" t="n">
        <v>12</v>
      </c>
      <c r="F251" s="3" t="n">
        <v>0.06</v>
      </c>
      <c r="G251" s="3">
        <f>E251/F251</f>
        <v/>
      </c>
      <c r="H251" s="3" t="n">
        <v>36</v>
      </c>
      <c r="I251" s="4" t="n">
        <v>24.0588</v>
      </c>
      <c r="J251" s="4">
        <f>I251/1.18</f>
        <v/>
      </c>
      <c r="K251" s="5" t="n">
        <v>0</v>
      </c>
      <c r="L251" s="5">
        <f>(K251)*F251</f>
        <v/>
      </c>
      <c r="M251" s="4">
        <f>J251-L251</f>
        <v/>
      </c>
      <c r="N251" s="3" t="n"/>
      <c r="O251" s="4">
        <f>M251-N251</f>
        <v/>
      </c>
      <c r="P251" s="6">
        <f>O251*1.18</f>
        <v/>
      </c>
    </row>
    <row r="252">
      <c r="A252" s="2" t="n">
        <v>429000165</v>
      </c>
      <c r="B252" s="2" t="inlineStr">
        <is>
          <t>SERVO ZOOM 2T SUPREME-20 X 1/4 L</t>
        </is>
      </c>
      <c r="C252" s="3" t="inlineStr">
        <is>
          <t>CAR</t>
        </is>
      </c>
      <c r="D252" s="3" t="inlineStr">
        <is>
          <t>2T</t>
        </is>
      </c>
      <c r="E252" s="3" t="n">
        <v>5</v>
      </c>
      <c r="F252" s="3" t="n">
        <v>0.25</v>
      </c>
      <c r="G252" s="3">
        <f>E252/F252</f>
        <v/>
      </c>
      <c r="H252" s="3" t="n">
        <v>155</v>
      </c>
      <c r="I252" s="4" t="n">
        <v>104.005</v>
      </c>
      <c r="J252" s="4">
        <f>I252/1.18</f>
        <v/>
      </c>
      <c r="K252" s="5" t="n">
        <v>0</v>
      </c>
      <c r="L252" s="5">
        <f>(K252)*F252</f>
        <v/>
      </c>
      <c r="M252" s="4">
        <f>J252-L252</f>
        <v/>
      </c>
      <c r="N252" s="3" t="n"/>
      <c r="O252" s="4">
        <f>M252-N252</f>
        <v/>
      </c>
      <c r="P252" s="6">
        <f>O252*1.18</f>
        <v/>
      </c>
    </row>
    <row r="253">
      <c r="A253" s="2" t="n">
        <v>429000175</v>
      </c>
      <c r="B253" s="2" t="inlineStr">
        <is>
          <t>SERVO ZOOM 2T SUPREME-20 X 1/2 L</t>
        </is>
      </c>
      <c r="C253" s="3" t="inlineStr">
        <is>
          <t>CAR</t>
        </is>
      </c>
      <c r="D253" s="3" t="inlineStr">
        <is>
          <t>2T</t>
        </is>
      </c>
      <c r="E253" s="3" t="n">
        <v>10</v>
      </c>
      <c r="F253" s="3" t="n">
        <v>0.5</v>
      </c>
      <c r="G253" s="3">
        <f>E253/F253</f>
        <v/>
      </c>
      <c r="H253" s="3" t="n">
        <v>295</v>
      </c>
      <c r="I253" s="4" t="n">
        <v>201.544</v>
      </c>
      <c r="J253" s="4">
        <f>I253/1.18</f>
        <v/>
      </c>
      <c r="K253" s="5" t="n">
        <v>0</v>
      </c>
      <c r="L253" s="5">
        <f>(K253)*F253</f>
        <v/>
      </c>
      <c r="M253" s="4">
        <f>J253-L253</f>
        <v/>
      </c>
      <c r="N253" s="3" t="n"/>
      <c r="O253" s="4">
        <f>M253-N253</f>
        <v/>
      </c>
      <c r="P253" s="6">
        <f>O253*1.18</f>
        <v/>
      </c>
    </row>
    <row r="254">
      <c r="A254" s="2" t="n">
        <v>429000184</v>
      </c>
      <c r="B254" s="2" t="inlineStr">
        <is>
          <t>SERVO ZOOM 2T SUPREME-20 X 1 L</t>
        </is>
      </c>
      <c r="C254" s="3" t="inlineStr">
        <is>
          <t>CAR</t>
        </is>
      </c>
      <c r="D254" s="3" t="inlineStr">
        <is>
          <t>2T</t>
        </is>
      </c>
      <c r="E254" s="3" t="n">
        <v>20</v>
      </c>
      <c r="F254" s="3" t="n">
        <v>1</v>
      </c>
      <c r="G254" s="3">
        <f>E254/F254</f>
        <v/>
      </c>
      <c r="H254" s="3" t="n">
        <v>490</v>
      </c>
      <c r="I254" s="4" t="n">
        <v>369.999</v>
      </c>
      <c r="J254" s="4">
        <f>I254/1.18</f>
        <v/>
      </c>
      <c r="K254" s="5" t="n">
        <v>0</v>
      </c>
      <c r="L254" s="5">
        <f>(K254)*F254</f>
        <v/>
      </c>
      <c r="M254" s="4">
        <f>J254-L254</f>
        <v/>
      </c>
      <c r="N254" s="3" t="n"/>
      <c r="O254" s="4">
        <f>M254-N254</f>
        <v/>
      </c>
      <c r="P254" s="6">
        <f>O254*1.18</f>
        <v/>
      </c>
    </row>
    <row r="255">
      <c r="A255" s="2" t="n">
        <v>429000229</v>
      </c>
      <c r="B255" s="2" t="inlineStr">
        <is>
          <t>SERVO ZOOM 2T SUPREME-20 X 1 L PROMO</t>
        </is>
      </c>
      <c r="C255" s="3" t="inlineStr">
        <is>
          <t>CAR</t>
        </is>
      </c>
      <c r="D255" s="3" t="inlineStr">
        <is>
          <t>2T</t>
        </is>
      </c>
      <c r="E255" s="3" t="n">
        <v>20</v>
      </c>
      <c r="F255" s="3" t="n">
        <v>1</v>
      </c>
      <c r="G255" s="3">
        <f>E255/F255</f>
        <v/>
      </c>
      <c r="H255" s="3" t="n">
        <v>490</v>
      </c>
      <c r="I255" s="4" t="n">
        <v>369.999</v>
      </c>
      <c r="J255" s="4">
        <f>I255/1.18</f>
        <v/>
      </c>
      <c r="K255" s="5" t="n">
        <v>0</v>
      </c>
      <c r="L255" s="5">
        <f>(K255)*F255</f>
        <v/>
      </c>
      <c r="M255" s="4">
        <f>J255-L255</f>
        <v/>
      </c>
      <c r="N255" s="3" t="n"/>
      <c r="O255" s="4">
        <f>M255-N255</f>
        <v/>
      </c>
      <c r="P255" s="6">
        <f>O255*1.18</f>
        <v/>
      </c>
    </row>
    <row r="256">
      <c r="A256" s="2" t="n">
        <v>429000234</v>
      </c>
      <c r="B256" s="2" t="inlineStr">
        <is>
          <t>SERVO ZOOM 2T SUPREME-4 X 5 L</t>
        </is>
      </c>
      <c r="C256" s="3" t="inlineStr">
        <is>
          <t>CAR</t>
        </is>
      </c>
      <c r="D256" s="3" t="inlineStr">
        <is>
          <t>2T</t>
        </is>
      </c>
      <c r="E256" s="3" t="n">
        <v>20</v>
      </c>
      <c r="F256" s="3" t="n">
        <v>5</v>
      </c>
      <c r="G256" s="3">
        <f>E256/F256</f>
        <v/>
      </c>
      <c r="H256" s="3" t="n">
        <v>2413</v>
      </c>
      <c r="I256" s="4" t="n">
        <v>1855.597</v>
      </c>
      <c r="J256" s="4">
        <f>I256/1.18</f>
        <v/>
      </c>
      <c r="K256" s="5" t="n">
        <v>0</v>
      </c>
      <c r="L256" s="5">
        <f>(K256)*F256</f>
        <v/>
      </c>
      <c r="M256" s="4">
        <f>J256-L256</f>
        <v/>
      </c>
      <c r="N256" s="3" t="n"/>
      <c r="O256" s="4">
        <f>M256-N256</f>
        <v/>
      </c>
      <c r="P256" s="6">
        <f>O256*1.18</f>
        <v/>
      </c>
    </row>
    <row r="257">
      <c r="A257" s="2" t="n">
        <v>429240152</v>
      </c>
      <c r="B257" s="2" t="inlineStr">
        <is>
          <t>SERVO ZOOM 4T-20 X 0.9 L</t>
        </is>
      </c>
      <c r="C257" s="3" t="inlineStr">
        <is>
          <t>CAR</t>
        </is>
      </c>
      <c r="D257" s="3" t="inlineStr">
        <is>
          <t>MCO</t>
        </is>
      </c>
      <c r="E257" s="3" t="n">
        <v>18</v>
      </c>
      <c r="F257" s="3" t="n">
        <v>0.9</v>
      </c>
      <c r="G257" s="3">
        <f>E257/F257</f>
        <v/>
      </c>
      <c r="H257" s="3" t="n">
        <v>474</v>
      </c>
      <c r="I257" s="4" t="n">
        <v>294.3066</v>
      </c>
      <c r="J257" s="4">
        <f>I257/1.18</f>
        <v/>
      </c>
      <c r="K257" s="5" t="n">
        <v>0</v>
      </c>
      <c r="L257" s="5">
        <f>(K257)*F257</f>
        <v/>
      </c>
      <c r="M257" s="4">
        <f>J257-L257</f>
        <v/>
      </c>
      <c r="N257" s="3" t="n"/>
      <c r="O257" s="4">
        <f>M257-N257</f>
        <v/>
      </c>
      <c r="P257" s="6">
        <f>O257*1.18</f>
        <v/>
      </c>
    </row>
    <row r="258">
      <c r="A258" s="2" t="n">
        <v>429240184</v>
      </c>
      <c r="B258" s="2" t="inlineStr">
        <is>
          <t>SERVO ZOOM 4T-20 X 1 L</t>
        </is>
      </c>
      <c r="C258" s="3" t="inlineStr">
        <is>
          <t>CAR</t>
        </is>
      </c>
      <c r="D258" s="3" t="inlineStr">
        <is>
          <t>MCO</t>
        </is>
      </c>
      <c r="E258" s="3" t="n">
        <v>20</v>
      </c>
      <c r="F258" s="3" t="n">
        <v>1</v>
      </c>
      <c r="G258" s="3">
        <f>E258/F258</f>
        <v/>
      </c>
      <c r="H258" s="3" t="n">
        <v>514</v>
      </c>
      <c r="I258" s="4" t="n">
        <v>319.3482</v>
      </c>
      <c r="J258" s="4">
        <f>I258/1.18</f>
        <v/>
      </c>
      <c r="K258" s="5" t="n">
        <v>0</v>
      </c>
      <c r="L258" s="5">
        <f>(K258)*F258</f>
        <v/>
      </c>
      <c r="M258" s="4">
        <f>J258-L258</f>
        <v/>
      </c>
      <c r="N258" s="3" t="n"/>
      <c r="O258" s="4">
        <f>M258-N258</f>
        <v/>
      </c>
      <c r="P258" s="6">
        <f>O258*1.18</f>
        <v/>
      </c>
    </row>
    <row r="259">
      <c r="A259" s="2" t="n">
        <v>429240229</v>
      </c>
      <c r="B259" s="2" t="inlineStr">
        <is>
          <t>SERVO ZOOM 4T-20 X 1 L PROMO</t>
        </is>
      </c>
      <c r="C259" s="3" t="inlineStr">
        <is>
          <t>CAR</t>
        </is>
      </c>
      <c r="D259" s="3" t="inlineStr">
        <is>
          <t>MCO</t>
        </is>
      </c>
      <c r="E259" s="3" t="n">
        <v>20</v>
      </c>
      <c r="F259" s="3" t="n">
        <v>1</v>
      </c>
      <c r="G259" s="3">
        <f>E259/F259</f>
        <v/>
      </c>
      <c r="H259" s="3" t="n">
        <v>514</v>
      </c>
      <c r="I259" s="4" t="n">
        <v>319.3482</v>
      </c>
      <c r="J259" s="4">
        <f>I259/1.18</f>
        <v/>
      </c>
      <c r="K259" s="5" t="n">
        <v>14</v>
      </c>
      <c r="L259" s="5">
        <f>(K259)*F259</f>
        <v/>
      </c>
      <c r="M259" s="4">
        <f>J259-L259</f>
        <v/>
      </c>
      <c r="N259" s="3" t="n"/>
      <c r="O259" s="4">
        <f>M259-N259</f>
        <v/>
      </c>
      <c r="P259" s="6">
        <f>O259*1.18</f>
        <v/>
      </c>
    </row>
    <row r="260">
      <c r="A260" s="2" t="n">
        <v>429240230</v>
      </c>
      <c r="B260" s="2" t="inlineStr">
        <is>
          <t>SERVO ZOOM 4T-20 X 0.9 L PROMO</t>
        </is>
      </c>
      <c r="C260" s="3" t="inlineStr">
        <is>
          <t>CAR</t>
        </is>
      </c>
      <c r="D260" s="3" t="inlineStr">
        <is>
          <t>MCO</t>
        </is>
      </c>
      <c r="E260" s="3" t="n">
        <v>18</v>
      </c>
      <c r="F260" s="3" t="n">
        <v>0.9</v>
      </c>
      <c r="G260" s="3">
        <f>E260/F260</f>
        <v/>
      </c>
      <c r="H260" s="3" t="n">
        <v>474</v>
      </c>
      <c r="I260" s="4" t="n">
        <v>294.3066</v>
      </c>
      <c r="J260" s="4">
        <f>I260/1.18</f>
        <v/>
      </c>
      <c r="K260" s="5" t="n">
        <v>20</v>
      </c>
      <c r="L260" s="5">
        <f>(K260)*F260</f>
        <v/>
      </c>
      <c r="M260" s="4">
        <f>J260-L260</f>
        <v/>
      </c>
      <c r="N260" s="3" t="n"/>
      <c r="O260" s="4">
        <f>M260-N260</f>
        <v/>
      </c>
      <c r="P260" s="6">
        <f>O260*1.18</f>
        <v/>
      </c>
    </row>
    <row r="261">
      <c r="A261" s="2" t="n">
        <v>429310023</v>
      </c>
      <c r="B261" s="2" t="inlineStr">
        <is>
          <t>SERVO ZOOM 4T 20W-50-1.2 L PROMO</t>
        </is>
      </c>
      <c r="C261" s="3" t="inlineStr">
        <is>
          <t>CAR</t>
        </is>
      </c>
      <c r="D261" s="3" t="inlineStr">
        <is>
          <t>MCO</t>
        </is>
      </c>
      <c r="E261" s="3" t="n">
        <v>24</v>
      </c>
      <c r="F261" s="3" t="n">
        <v>1.2</v>
      </c>
      <c r="G261" s="3">
        <f>E261/F261</f>
        <v/>
      </c>
      <c r="H261" s="3" t="n">
        <v>656</v>
      </c>
      <c r="I261" s="4" t="n">
        <v>400.0288</v>
      </c>
      <c r="J261" s="4">
        <f>I261/1.18</f>
        <v/>
      </c>
      <c r="K261" s="5" t="n">
        <v>0</v>
      </c>
      <c r="L261" s="5">
        <f>(K261)*F261</f>
        <v/>
      </c>
      <c r="M261" s="4">
        <f>J261-L261</f>
        <v/>
      </c>
      <c r="N261" s="3" t="n"/>
      <c r="O261" s="4">
        <f>M261-N261</f>
        <v/>
      </c>
      <c r="P261" s="6">
        <f>O261*1.18</f>
        <v/>
      </c>
    </row>
    <row r="262">
      <c r="A262" s="2" t="n">
        <v>429310184</v>
      </c>
      <c r="B262" s="2" t="inlineStr">
        <is>
          <t>SERVO ZOOM 4T 20W-50-20 X 1 L</t>
        </is>
      </c>
      <c r="C262" s="3" t="inlineStr">
        <is>
          <t>CAR</t>
        </is>
      </c>
      <c r="D262" s="3" t="inlineStr">
        <is>
          <t>MCO</t>
        </is>
      </c>
      <c r="E262" s="3" t="n">
        <v>20</v>
      </c>
      <c r="F262" s="3" t="n">
        <v>1</v>
      </c>
      <c r="G262" s="3">
        <f>E262/F262</f>
        <v/>
      </c>
      <c r="H262" s="3" t="n">
        <v>512</v>
      </c>
      <c r="I262" s="4" t="n">
        <v>318.2592</v>
      </c>
      <c r="J262" s="4">
        <f>I262/1.18</f>
        <v/>
      </c>
      <c r="K262" s="5" t="n">
        <v>0</v>
      </c>
      <c r="L262" s="5">
        <f>(K262)*F262</f>
        <v/>
      </c>
      <c r="M262" s="4">
        <f>J262-L262</f>
        <v/>
      </c>
      <c r="N262" s="3" t="n"/>
      <c r="O262" s="4">
        <f>M262-N262</f>
        <v/>
      </c>
      <c r="P262" s="6">
        <f>O262*1.18</f>
        <v/>
      </c>
    </row>
    <row r="263">
      <c r="A263" s="2" t="n">
        <v>429310225</v>
      </c>
      <c r="B263" s="2" t="inlineStr">
        <is>
          <t>SERVO ZOOM 4T 20W-50-20 X 1.2 L</t>
        </is>
      </c>
      <c r="C263" s="3" t="inlineStr">
        <is>
          <t>CAR</t>
        </is>
      </c>
      <c r="D263" s="3" t="inlineStr">
        <is>
          <t>MCO</t>
        </is>
      </c>
      <c r="E263" s="3" t="n">
        <v>24</v>
      </c>
      <c r="F263" s="3" t="n">
        <v>1.2</v>
      </c>
      <c r="G263" s="3">
        <f>E263/F263</f>
        <v/>
      </c>
      <c r="H263" s="3" t="n">
        <v>656</v>
      </c>
      <c r="I263" s="4" t="n">
        <v>400.0288</v>
      </c>
      <c r="J263" s="4">
        <f>I263/1.18</f>
        <v/>
      </c>
      <c r="K263" s="5" t="n">
        <v>0</v>
      </c>
      <c r="L263" s="5">
        <f>(K263)*F263</f>
        <v/>
      </c>
      <c r="M263" s="4">
        <f>J263-L263</f>
        <v/>
      </c>
      <c r="N263" s="3" t="n"/>
      <c r="O263" s="4">
        <f>M263-N263</f>
        <v/>
      </c>
      <c r="P263" s="6">
        <f>O263*1.18</f>
        <v/>
      </c>
    </row>
    <row r="264">
      <c r="A264" s="2" t="n">
        <v>429310229</v>
      </c>
      <c r="B264" s="2" t="inlineStr">
        <is>
          <t>SERVO ZOOM 4T 20W-50-20 X 1 L PROMO</t>
        </is>
      </c>
      <c r="C264" s="3" t="inlineStr">
        <is>
          <t>CAR</t>
        </is>
      </c>
      <c r="D264" s="3" t="inlineStr">
        <is>
          <t>MCO</t>
        </is>
      </c>
      <c r="E264" s="3" t="n">
        <v>20</v>
      </c>
      <c r="F264" s="3" t="n">
        <v>1</v>
      </c>
      <c r="G264" s="3">
        <f>E264/F264</f>
        <v/>
      </c>
      <c r="H264" s="3" t="n">
        <v>512</v>
      </c>
      <c r="I264" s="4" t="n">
        <v>318.2592</v>
      </c>
      <c r="J264" s="4">
        <f>I264/1.18</f>
        <v/>
      </c>
      <c r="K264" s="5" t="n">
        <v>10</v>
      </c>
      <c r="L264" s="5">
        <f>(K264)*F264</f>
        <v/>
      </c>
      <c r="M264" s="4">
        <f>J264-L264</f>
        <v/>
      </c>
      <c r="N264" s="3" t="n"/>
      <c r="O264" s="4">
        <f>M264-N264</f>
        <v/>
      </c>
      <c r="P264" s="6">
        <f>O264*1.18</f>
        <v/>
      </c>
    </row>
    <row r="265">
      <c r="A265" s="2" t="n">
        <v>429360152</v>
      </c>
      <c r="B265" s="2" t="inlineStr">
        <is>
          <t>SERVO ZOOM 4T 10W-30-20 X 0.9 L</t>
        </is>
      </c>
      <c r="C265" s="3" t="inlineStr">
        <is>
          <t>CAR</t>
        </is>
      </c>
      <c r="D265" s="3" t="inlineStr">
        <is>
          <t>MCO</t>
        </is>
      </c>
      <c r="E265" s="3" t="n">
        <v>18</v>
      </c>
      <c r="F265" s="3" t="n">
        <v>0.9</v>
      </c>
      <c r="G265" s="3">
        <f>E265/F265</f>
        <v/>
      </c>
      <c r="H265" s="3" t="n">
        <v>482</v>
      </c>
      <c r="I265" s="4" t="n">
        <v>299.6112</v>
      </c>
      <c r="J265" s="4">
        <f>I265/1.18</f>
        <v/>
      </c>
      <c r="K265" s="5" t="n">
        <v>0</v>
      </c>
      <c r="L265" s="5">
        <f>(K265)*F265</f>
        <v/>
      </c>
      <c r="M265" s="4">
        <f>J265-L265</f>
        <v/>
      </c>
      <c r="N265" s="3" t="n"/>
      <c r="O265" s="4">
        <f>M265-N265</f>
        <v/>
      </c>
      <c r="P265" s="6">
        <f>O265*1.18</f>
        <v/>
      </c>
    </row>
    <row r="266">
      <c r="A266" s="2" t="n">
        <v>429360184</v>
      </c>
      <c r="B266" s="2" t="inlineStr">
        <is>
          <t>SERVO ZOOM 4T 10W-30-20 X 1 L</t>
        </is>
      </c>
      <c r="C266" s="3" t="inlineStr">
        <is>
          <t>CAR</t>
        </is>
      </c>
      <c r="D266" s="3" t="inlineStr">
        <is>
          <t>MCO</t>
        </is>
      </c>
      <c r="E266" s="3" t="n">
        <v>20</v>
      </c>
      <c r="F266" s="3" t="n">
        <v>1</v>
      </c>
      <c r="G266" s="3">
        <f>E266/F266</f>
        <v/>
      </c>
      <c r="H266" s="3" t="n">
        <v>514</v>
      </c>
      <c r="I266" s="4" t="n">
        <v>319.3996</v>
      </c>
      <c r="J266" s="4">
        <f>I266/1.18</f>
        <v/>
      </c>
      <c r="K266" s="5" t="n">
        <v>0</v>
      </c>
      <c r="L266" s="5">
        <f>(K266)*F266</f>
        <v/>
      </c>
      <c r="M266" s="4">
        <f>J266-L266</f>
        <v/>
      </c>
      <c r="N266" s="3" t="n"/>
      <c r="O266" s="4">
        <f>M266-N266</f>
        <v/>
      </c>
      <c r="P266" s="6">
        <f>O266*1.18</f>
        <v/>
      </c>
    </row>
    <row r="267">
      <c r="A267" s="2" t="n">
        <v>429360229</v>
      </c>
      <c r="B267" s="2" t="inlineStr">
        <is>
          <t>SERVO ZOOM 4T 10W-30-20 X 1 L PROMO</t>
        </is>
      </c>
      <c r="C267" s="3" t="inlineStr">
        <is>
          <t>CAR</t>
        </is>
      </c>
      <c r="D267" s="3" t="inlineStr">
        <is>
          <t>MCO</t>
        </is>
      </c>
      <c r="E267" s="3" t="n">
        <v>20</v>
      </c>
      <c r="F267" s="3" t="n">
        <v>1</v>
      </c>
      <c r="G267" s="3">
        <f>E267/F267</f>
        <v/>
      </c>
      <c r="H267" s="3" t="n">
        <v>514</v>
      </c>
      <c r="I267" s="4" t="n">
        <v>319.3996</v>
      </c>
      <c r="J267" s="4">
        <f>I267/1.18</f>
        <v/>
      </c>
      <c r="K267" s="5" t="n">
        <v>15</v>
      </c>
      <c r="L267" s="5">
        <f>(K267)*F267</f>
        <v/>
      </c>
      <c r="M267" s="4">
        <f>J267-L267</f>
        <v/>
      </c>
      <c r="N267" s="3" t="n"/>
      <c r="O267" s="4">
        <f>M267-N267</f>
        <v/>
      </c>
      <c r="P267" s="6">
        <f>O267*1.18</f>
        <v/>
      </c>
    </row>
    <row r="268">
      <c r="A268" s="2" t="n">
        <v>429360230</v>
      </c>
      <c r="B268" s="2" t="inlineStr">
        <is>
          <t>SERVO ZOOM 4T 10W-30-20 X 0.9 L PROMO</t>
        </is>
      </c>
      <c r="C268" s="3" t="inlineStr">
        <is>
          <t>CAR</t>
        </is>
      </c>
      <c r="D268" s="3" t="inlineStr">
        <is>
          <t>MCO</t>
        </is>
      </c>
      <c r="E268" s="3" t="n">
        <v>18</v>
      </c>
      <c r="F268" s="3" t="n">
        <v>0.9</v>
      </c>
      <c r="G268" s="3">
        <f>E268/F268</f>
        <v/>
      </c>
      <c r="H268" s="3" t="n">
        <v>482</v>
      </c>
      <c r="I268" s="4" t="n">
        <v>299.6112</v>
      </c>
      <c r="J268" s="4">
        <f>I268/1.18</f>
        <v/>
      </c>
      <c r="K268" s="5" t="n">
        <v>15</v>
      </c>
      <c r="L268" s="5">
        <f>(K268)*F268</f>
        <v/>
      </c>
      <c r="M268" s="4">
        <f>J268-L268</f>
        <v/>
      </c>
      <c r="N268" s="3" t="n"/>
      <c r="O268" s="4">
        <f>M268-N268</f>
        <v/>
      </c>
      <c r="P268" s="6">
        <f>O268*1.18</f>
        <v/>
      </c>
    </row>
    <row r="269">
      <c r="A269" s="2" t="n">
        <v>429510184</v>
      </c>
      <c r="B269" s="2" t="inlineStr">
        <is>
          <t>SERVO ZOOM 4T 10W-40-20 X 1 L</t>
        </is>
      </c>
      <c r="C269" s="3" t="inlineStr">
        <is>
          <t>CAR</t>
        </is>
      </c>
      <c r="D269" s="3" t="inlineStr">
        <is>
          <t>MCO</t>
        </is>
      </c>
      <c r="E269" s="3" t="n">
        <v>20</v>
      </c>
      <c r="F269" s="3" t="n">
        <v>1</v>
      </c>
      <c r="G269" s="3">
        <f>E269/F269</f>
        <v/>
      </c>
      <c r="H269" s="3" t="n">
        <v>509</v>
      </c>
      <c r="I269" s="4" t="n">
        <v>325.9636</v>
      </c>
      <c r="J269" s="4">
        <f>I269/1.18</f>
        <v/>
      </c>
      <c r="K269" s="5" t="n">
        <v>0</v>
      </c>
      <c r="L269" s="5">
        <f>(K269)*F269</f>
        <v/>
      </c>
      <c r="M269" s="4">
        <f>J269-L269</f>
        <v/>
      </c>
      <c r="N269" s="3" t="n"/>
      <c r="O269" s="4">
        <f>M269-N269</f>
        <v/>
      </c>
      <c r="P269" s="6">
        <f>O269*1.18</f>
        <v/>
      </c>
    </row>
    <row r="270">
      <c r="A270" s="2" t="n">
        <v>429510229</v>
      </c>
      <c r="B270" s="2" t="inlineStr">
        <is>
          <t>SERVO ZOOM 4T 10W-40-20 X 1 L PROMO</t>
        </is>
      </c>
      <c r="C270" s="3" t="inlineStr">
        <is>
          <t>CAR</t>
        </is>
      </c>
      <c r="D270" s="3" t="inlineStr">
        <is>
          <t>MCO</t>
        </is>
      </c>
      <c r="E270" s="3" t="n">
        <v>20</v>
      </c>
      <c r="F270" s="3" t="n">
        <v>1</v>
      </c>
      <c r="G270" s="3">
        <f>E270/F270</f>
        <v/>
      </c>
      <c r="H270" s="3" t="n">
        <v>509</v>
      </c>
      <c r="I270" s="4" t="n">
        <v>325.9636</v>
      </c>
      <c r="J270" s="4">
        <f>I270/1.18</f>
        <v/>
      </c>
      <c r="K270" s="5" t="n">
        <v>15</v>
      </c>
      <c r="L270" s="5">
        <f>(K270)*F270</f>
        <v/>
      </c>
      <c r="M270" s="4">
        <f>J270-L270</f>
        <v/>
      </c>
      <c r="N270" s="3" t="n"/>
      <c r="O270" s="4">
        <f>M270-N270</f>
        <v/>
      </c>
      <c r="P270" s="6">
        <f>O270*1.18</f>
        <v/>
      </c>
    </row>
    <row r="271">
      <c r="A271" s="2" t="n">
        <v>429510230</v>
      </c>
      <c r="B271" s="2" t="inlineStr">
        <is>
          <t>SERVO ZOOM 4T 10W-40-20 X 0.9 L PROMO</t>
        </is>
      </c>
      <c r="C271" s="3" t="inlineStr">
        <is>
          <t>CAR</t>
        </is>
      </c>
      <c r="D271" s="3" t="inlineStr">
        <is>
          <t>MCO</t>
        </is>
      </c>
      <c r="E271" s="3" t="n">
        <v>18</v>
      </c>
      <c r="F271" s="3" t="n">
        <v>0.9</v>
      </c>
      <c r="G271" s="3">
        <f>E271/F271</f>
        <v/>
      </c>
      <c r="H271" s="3" t="n">
        <v>469</v>
      </c>
      <c r="I271" s="4" t="n">
        <v>300.2069</v>
      </c>
      <c r="J271" s="4">
        <f>I271/1.18</f>
        <v/>
      </c>
      <c r="K271" s="5" t="n">
        <v>15</v>
      </c>
      <c r="L271" s="5">
        <f>(K271)*F271</f>
        <v/>
      </c>
      <c r="M271" s="4">
        <f>J271-L271</f>
        <v/>
      </c>
      <c r="N271" s="3" t="n"/>
      <c r="O271" s="4">
        <f>M271-N271</f>
        <v/>
      </c>
      <c r="P271" s="6">
        <f>O271*1.18</f>
        <v/>
      </c>
    </row>
    <row r="272">
      <c r="A272" s="2" t="n">
        <v>449750184</v>
      </c>
      <c r="B272" s="2" t="inlineStr">
        <is>
          <t>SERVO KISANPRO OIB-20 X 1 L</t>
        </is>
      </c>
      <c r="C272" s="3" t="inlineStr">
        <is>
          <t>CAR</t>
        </is>
      </c>
      <c r="D272" s="3" t="inlineStr">
        <is>
          <t>AGRI</t>
        </is>
      </c>
      <c r="E272" s="3" t="n">
        <v>20</v>
      </c>
      <c r="F272" s="3" t="n">
        <v>1</v>
      </c>
      <c r="G272" s="3">
        <f>E272/F272</f>
        <v/>
      </c>
      <c r="H272" s="3" t="n">
        <v>508</v>
      </c>
      <c r="I272" s="4" t="n">
        <v>334.9244</v>
      </c>
      <c r="J272" s="4">
        <f>I272/1.18</f>
        <v/>
      </c>
      <c r="K272" s="5" t="n">
        <v>30</v>
      </c>
      <c r="L272" s="5">
        <f>(K272)*F272</f>
        <v/>
      </c>
      <c r="M272" s="4">
        <f>J272-L272</f>
        <v/>
      </c>
      <c r="N272" s="3" t="n"/>
      <c r="O272" s="4">
        <f>M272-N272</f>
        <v/>
      </c>
      <c r="P272" s="6">
        <f>O272*1.18</f>
        <v/>
      </c>
    </row>
    <row r="273">
      <c r="A273" s="2" t="n">
        <v>449750234</v>
      </c>
      <c r="B273" s="2" t="inlineStr">
        <is>
          <t>SERVO KISANPRO OIB-4 X 5 L</t>
        </is>
      </c>
      <c r="C273" s="3" t="inlineStr">
        <is>
          <t>CAR</t>
        </is>
      </c>
      <c r="D273" s="3" t="inlineStr">
        <is>
          <t>AGRI</t>
        </is>
      </c>
      <c r="E273" s="3" t="n">
        <v>20</v>
      </c>
      <c r="F273" s="3" t="n">
        <v>5</v>
      </c>
      <c r="G273" s="3">
        <f>E273/F273</f>
        <v/>
      </c>
      <c r="H273" s="3" t="n">
        <v>2477</v>
      </c>
      <c r="I273" s="4" t="n">
        <v>1651.9113</v>
      </c>
      <c r="J273" s="4">
        <f>I273/1.18</f>
        <v/>
      </c>
      <c r="K273" s="5" t="n">
        <v>0</v>
      </c>
      <c r="L273" s="5">
        <f>(K273)*F273</f>
        <v/>
      </c>
      <c r="M273" s="4">
        <f>J273-L273</f>
        <v/>
      </c>
      <c r="N273" s="3" t="n"/>
      <c r="O273" s="4">
        <f>M273-N273</f>
        <v/>
      </c>
      <c r="P273" s="6">
        <f>O273*1.18</f>
        <v/>
      </c>
    </row>
    <row r="274">
      <c r="A274" s="2" t="n">
        <v>449750240</v>
      </c>
      <c r="B274" s="2" t="inlineStr">
        <is>
          <t>SERVO KISANPRO OIB-4 X 5 L PROMO</t>
        </is>
      </c>
      <c r="C274" s="3" t="inlineStr">
        <is>
          <t>CAR</t>
        </is>
      </c>
      <c r="D274" s="3" t="inlineStr">
        <is>
          <t>AGRI</t>
        </is>
      </c>
      <c r="E274" s="3" t="n">
        <v>20</v>
      </c>
      <c r="F274" s="3" t="n">
        <v>5</v>
      </c>
      <c r="G274" s="3">
        <f>E274/F274</f>
        <v/>
      </c>
      <c r="H274" s="3" t="n">
        <v>2477</v>
      </c>
      <c r="I274" s="4" t="n">
        <v>1651.9113</v>
      </c>
      <c r="J274" s="4">
        <f>I274/1.18</f>
        <v/>
      </c>
      <c r="K274" s="5" t="n">
        <v>30</v>
      </c>
      <c r="L274" s="5">
        <f>(K274)*F274</f>
        <v/>
      </c>
      <c r="M274" s="4">
        <f>J274-L274</f>
        <v/>
      </c>
      <c r="N274" s="3" t="n"/>
      <c r="O274" s="4">
        <f>M274-N274</f>
        <v/>
      </c>
      <c r="P274" s="6">
        <f>O274*1.18</f>
        <v/>
      </c>
    </row>
    <row r="275">
      <c r="A275" s="2" t="n">
        <v>449750265</v>
      </c>
      <c r="B275" s="2" t="inlineStr">
        <is>
          <t>SERVO KISANPRO OIB-20 L</t>
        </is>
      </c>
      <c r="C275" s="3" t="inlineStr">
        <is>
          <t>BUC</t>
        </is>
      </c>
      <c r="D275" s="3" t="inlineStr">
        <is>
          <t>AGRI</t>
        </is>
      </c>
      <c r="E275" s="3" t="n">
        <v>20</v>
      </c>
      <c r="F275" s="3" t="n">
        <v>20</v>
      </c>
      <c r="G275" s="3">
        <f>E275/F275</f>
        <v/>
      </c>
      <c r="H275" s="3" t="n">
        <v>9830</v>
      </c>
      <c r="I275" s="4" t="n">
        <v>6558.576</v>
      </c>
      <c r="J275" s="4">
        <f>I275/1.18</f>
        <v/>
      </c>
      <c r="K275" s="5" t="n">
        <v>0</v>
      </c>
      <c r="L275" s="5">
        <f>(K275)*F275</f>
        <v/>
      </c>
      <c r="M275" s="4">
        <f>J275-L275</f>
        <v/>
      </c>
      <c r="N275" s="3" t="n"/>
      <c r="O275" s="4">
        <f>M275-N275</f>
        <v/>
      </c>
      <c r="P275" s="6">
        <f>O275*1.18</f>
        <v/>
      </c>
    </row>
    <row r="276">
      <c r="A276" s="2" t="n">
        <v>449750269</v>
      </c>
      <c r="B276" s="2" t="inlineStr">
        <is>
          <t>SERVO KISANPRO OIB-20 L PROMO</t>
        </is>
      </c>
      <c r="C276" s="3" t="inlineStr">
        <is>
          <t>BUC</t>
        </is>
      </c>
      <c r="D276" s="3" t="inlineStr">
        <is>
          <t>AGRI</t>
        </is>
      </c>
      <c r="E276" s="3" t="n">
        <v>20</v>
      </c>
      <c r="F276" s="3" t="n">
        <v>20</v>
      </c>
      <c r="G276" s="3">
        <f>E276/F276</f>
        <v/>
      </c>
      <c r="H276" s="3" t="n">
        <v>9830</v>
      </c>
      <c r="I276" s="4" t="n">
        <v>6558.576</v>
      </c>
      <c r="J276" s="4">
        <f>I276/1.18</f>
        <v/>
      </c>
      <c r="K276" s="5" t="n">
        <v>40</v>
      </c>
      <c r="L276" s="5">
        <f>(K276)*F276</f>
        <v/>
      </c>
      <c r="M276" s="4">
        <f>J276-L276</f>
        <v/>
      </c>
      <c r="N276" s="3" t="n"/>
      <c r="O276" s="4">
        <f>M276-N276</f>
        <v/>
      </c>
      <c r="P276" s="6">
        <f>O276*1.18</f>
        <v/>
      </c>
    </row>
    <row r="277">
      <c r="A277" s="2" t="n">
        <v>471020111</v>
      </c>
      <c r="B277" s="2" t="inlineStr">
        <is>
          <t>SERVO FUTURA 0W-20-4X3.5 L PROMO</t>
        </is>
      </c>
      <c r="C277" s="3" t="inlineStr">
        <is>
          <t>CAR</t>
        </is>
      </c>
      <c r="D277" s="3" t="inlineStr">
        <is>
          <t>PCMO</t>
        </is>
      </c>
      <c r="E277" s="3" t="n">
        <v>14</v>
      </c>
      <c r="F277" s="3" t="n">
        <v>3.5</v>
      </c>
      <c r="G277" s="3">
        <f>E277/F277</f>
        <v/>
      </c>
      <c r="H277" s="3" t="n">
        <v>2198</v>
      </c>
      <c r="I277" s="4" t="n">
        <v>1389.5756</v>
      </c>
      <c r="J277" s="4">
        <f>I277/1.18</f>
        <v/>
      </c>
      <c r="K277" s="5" t="n">
        <v>15</v>
      </c>
      <c r="L277" s="5">
        <f>(K277)*F277</f>
        <v/>
      </c>
      <c r="M277" s="4">
        <f>J277-L277</f>
        <v/>
      </c>
      <c r="N277" s="3" t="n"/>
      <c r="O277" s="4">
        <f>M277-N277</f>
        <v/>
      </c>
      <c r="P277" s="6">
        <f>O277*1.18</f>
        <v/>
      </c>
    </row>
    <row r="278">
      <c r="A278" s="2" t="n">
        <v>471020184</v>
      </c>
      <c r="B278" s="2" t="inlineStr">
        <is>
          <t>SERVO FUTURA 0W-20-20 X 1 L</t>
        </is>
      </c>
      <c r="C278" s="3" t="inlineStr">
        <is>
          <t>CAR</t>
        </is>
      </c>
      <c r="D278" s="3" t="inlineStr">
        <is>
          <t>PCMO</t>
        </is>
      </c>
      <c r="E278" s="3" t="n">
        <v>20</v>
      </c>
      <c r="F278" s="3" t="n">
        <v>1</v>
      </c>
      <c r="G278" s="3">
        <f>E278/F278</f>
        <v/>
      </c>
      <c r="H278" s="3" t="n">
        <v>634</v>
      </c>
      <c r="I278" s="4" t="n">
        <v>400.5612</v>
      </c>
      <c r="J278" s="4">
        <f>I278/1.18</f>
        <v/>
      </c>
      <c r="K278" s="5" t="n">
        <v>15</v>
      </c>
      <c r="L278" s="5">
        <f>(K278)*F278</f>
        <v/>
      </c>
      <c r="M278" s="4">
        <f>J278-L278</f>
        <v/>
      </c>
      <c r="N278" s="3" t="n"/>
      <c r="O278" s="4">
        <f>M278-N278</f>
        <v/>
      </c>
      <c r="P278" s="6">
        <f>O278*1.18</f>
        <v/>
      </c>
    </row>
    <row r="279">
      <c r="A279" s="2" t="n">
        <v>471020203</v>
      </c>
      <c r="B279" s="2" t="inlineStr">
        <is>
          <t>SERVO FUTURA 0W-20-4 X 3 L</t>
        </is>
      </c>
      <c r="C279" s="3" t="inlineStr">
        <is>
          <t>CAR</t>
        </is>
      </c>
      <c r="D279" s="3" t="inlineStr">
        <is>
          <t>PCMO</t>
        </is>
      </c>
      <c r="E279" s="3" t="n">
        <v>12</v>
      </c>
      <c r="F279" s="3" t="n">
        <v>3</v>
      </c>
      <c r="G279" s="3">
        <f>E279/F279</f>
        <v/>
      </c>
      <c r="H279" s="3" t="n">
        <v>1895</v>
      </c>
      <c r="I279" s="4" t="n">
        <v>1198.019</v>
      </c>
      <c r="J279" s="4">
        <f>I279/1.18</f>
        <v/>
      </c>
      <c r="K279" s="5" t="n">
        <v>0</v>
      </c>
      <c r="L279" s="5">
        <f>(K279)*F279</f>
        <v/>
      </c>
      <c r="M279" s="4">
        <f>J279-L279</f>
        <v/>
      </c>
      <c r="N279" s="3" t="n"/>
      <c r="O279" s="4">
        <f>M279-N279</f>
        <v/>
      </c>
      <c r="P279" s="6">
        <f>O279*1.18</f>
        <v/>
      </c>
    </row>
    <row r="280">
      <c r="A280" s="2" t="n">
        <v>471020204</v>
      </c>
      <c r="B280" s="2" t="inlineStr">
        <is>
          <t>SERVO FUTURA 0W-20-4 X 3 L PROMO</t>
        </is>
      </c>
      <c r="C280" s="3" t="inlineStr">
        <is>
          <t>CAR</t>
        </is>
      </c>
      <c r="D280" s="3" t="inlineStr">
        <is>
          <t>PCMO</t>
        </is>
      </c>
      <c r="E280" s="3" t="n">
        <v>12</v>
      </c>
      <c r="F280" s="3" t="n">
        <v>3</v>
      </c>
      <c r="G280" s="3">
        <f>E280/F280</f>
        <v/>
      </c>
      <c r="H280" s="3" t="n">
        <v>1895</v>
      </c>
      <c r="I280" s="4" t="n">
        <v>1198.019</v>
      </c>
      <c r="J280" s="4">
        <f>I280/1.18</f>
        <v/>
      </c>
      <c r="K280" s="5" t="n">
        <v>15</v>
      </c>
      <c r="L280" s="5">
        <f>(K280)*F280</f>
        <v/>
      </c>
      <c r="M280" s="4">
        <f>J280-L280</f>
        <v/>
      </c>
      <c r="N280" s="3" t="n"/>
      <c r="O280" s="4">
        <f>M280-N280</f>
        <v/>
      </c>
      <c r="P280" s="6">
        <f>O280*1.18</f>
        <v/>
      </c>
    </row>
    <row r="281">
      <c r="A281" s="2" t="n">
        <v>471020213</v>
      </c>
      <c r="B281" s="2" t="inlineStr">
        <is>
          <t>SERVO FUTURA 0W-20-4 X 3.5 L</t>
        </is>
      </c>
      <c r="C281" s="3" t="inlineStr">
        <is>
          <t>CAR</t>
        </is>
      </c>
      <c r="D281" s="3" t="inlineStr">
        <is>
          <t>PCMO</t>
        </is>
      </c>
      <c r="E281" s="3" t="n">
        <v>14</v>
      </c>
      <c r="F281" s="3" t="n">
        <v>3.5</v>
      </c>
      <c r="G281" s="3">
        <f>E281/F281</f>
        <v/>
      </c>
      <c r="H281" s="3" t="n">
        <v>2198</v>
      </c>
      <c r="I281" s="4" t="n">
        <v>1389.5756</v>
      </c>
      <c r="J281" s="4">
        <f>I281/1.18</f>
        <v/>
      </c>
      <c r="K281" s="5" t="n">
        <v>0</v>
      </c>
      <c r="L281" s="5">
        <f>(K281)*F281</f>
        <v/>
      </c>
      <c r="M281" s="4">
        <f>J281-L281</f>
        <v/>
      </c>
      <c r="N281" s="3" t="n"/>
      <c r="O281" s="4">
        <f>M281-N281</f>
        <v/>
      </c>
      <c r="P281" s="6">
        <f>O281*1.18</f>
        <v/>
      </c>
    </row>
    <row r="282">
      <c r="A282" s="2" t="n">
        <v>471020220</v>
      </c>
      <c r="B282" s="2" t="inlineStr">
        <is>
          <t>SERVO FUTURA 0W-20-4 X 4 L PROMO</t>
        </is>
      </c>
      <c r="C282" s="3" t="inlineStr">
        <is>
          <t>CAR</t>
        </is>
      </c>
      <c r="D282" s="3" t="inlineStr">
        <is>
          <t>PCMO</t>
        </is>
      </c>
      <c r="E282" s="3" t="n">
        <v>16</v>
      </c>
      <c r="F282" s="3" t="n">
        <v>4</v>
      </c>
      <c r="G282" s="3">
        <f>E282/F282</f>
        <v/>
      </c>
      <c r="H282" s="3" t="n">
        <v>2512</v>
      </c>
      <c r="I282" s="4" t="n">
        <v>1588.0864</v>
      </c>
      <c r="J282" s="4">
        <f>I282/1.18</f>
        <v/>
      </c>
      <c r="K282" s="5" t="n">
        <v>15</v>
      </c>
      <c r="L282" s="5">
        <f>(K282)*F282</f>
        <v/>
      </c>
      <c r="M282" s="4">
        <f>J282-L282</f>
        <v/>
      </c>
      <c r="N282" s="3" t="n"/>
      <c r="O282" s="4">
        <f>M282-N282</f>
        <v/>
      </c>
      <c r="P282" s="6">
        <f>O282*1.18</f>
        <v/>
      </c>
    </row>
    <row r="283">
      <c r="A283" s="2" t="n">
        <v>471020222</v>
      </c>
      <c r="B283" s="2" t="inlineStr">
        <is>
          <t>SERVO FUTURA 0W-20-4 X 4 L</t>
        </is>
      </c>
      <c r="C283" s="3" t="inlineStr">
        <is>
          <t>CAR</t>
        </is>
      </c>
      <c r="D283" s="3" t="inlineStr">
        <is>
          <t>PCMO</t>
        </is>
      </c>
      <c r="E283" s="3" t="n">
        <v>16</v>
      </c>
      <c r="F283" s="3" t="n">
        <v>4</v>
      </c>
      <c r="G283" s="3">
        <f>E283/F283</f>
        <v/>
      </c>
      <c r="H283" s="3" t="n">
        <v>2512</v>
      </c>
      <c r="I283" s="4" t="n">
        <v>1588.0864</v>
      </c>
      <c r="J283" s="4">
        <f>I283/1.18</f>
        <v/>
      </c>
      <c r="K283" s="5" t="n">
        <v>0</v>
      </c>
      <c r="L283" s="5">
        <f>(K283)*F283</f>
        <v/>
      </c>
      <c r="M283" s="4">
        <f>J283-L283</f>
        <v/>
      </c>
      <c r="N283" s="3" t="n"/>
      <c r="O283" s="4">
        <f>M283-N283</f>
        <v/>
      </c>
      <c r="P283" s="6">
        <f>O283*1.18</f>
        <v/>
      </c>
    </row>
    <row r="284">
      <c r="A284" s="2" t="n">
        <v>471020229</v>
      </c>
      <c r="B284" s="2" t="inlineStr">
        <is>
          <t>SERVO FUTURA 0W-20-20 X 1 L PROMO</t>
        </is>
      </c>
      <c r="C284" s="3" t="inlineStr">
        <is>
          <t>CAR</t>
        </is>
      </c>
      <c r="D284" s="3" t="inlineStr">
        <is>
          <t>PCMO</t>
        </is>
      </c>
      <c r="E284" s="3" t="n">
        <v>20</v>
      </c>
      <c r="F284" s="3" t="n">
        <v>1</v>
      </c>
      <c r="G284" s="3">
        <f>E284/F284</f>
        <v/>
      </c>
      <c r="H284" s="3" t="n">
        <v>634</v>
      </c>
      <c r="I284" s="4" t="n">
        <v>400.5612</v>
      </c>
      <c r="J284" s="4">
        <f>I284/1.18</f>
        <v/>
      </c>
      <c r="K284" s="5" t="n">
        <v>0</v>
      </c>
      <c r="L284" s="5">
        <f>(K284)*F284</f>
        <v/>
      </c>
      <c r="M284" s="4">
        <f>J284-L284</f>
        <v/>
      </c>
      <c r="N284" s="3" t="n"/>
      <c r="O284" s="4">
        <f>M284-N284</f>
        <v/>
      </c>
      <c r="P284" s="6">
        <f>O284*1.18</f>
        <v/>
      </c>
    </row>
    <row r="285">
      <c r="A285" s="2" t="n">
        <v>471020234</v>
      </c>
      <c r="B285" s="2" t="inlineStr">
        <is>
          <t>SERVO FUTURA 0W-20-4 X 5 L</t>
        </is>
      </c>
      <c r="C285" s="3" t="inlineStr">
        <is>
          <t>CAR</t>
        </is>
      </c>
      <c r="D285" s="3" t="inlineStr">
        <is>
          <t>PCMO</t>
        </is>
      </c>
      <c r="E285" s="3" t="n">
        <v>20</v>
      </c>
      <c r="F285" s="3" t="n">
        <v>5</v>
      </c>
      <c r="G285" s="3">
        <f>E285/F285</f>
        <v/>
      </c>
      <c r="H285" s="3" t="n">
        <v>3139</v>
      </c>
      <c r="I285" s="4" t="n">
        <v>1985.1036</v>
      </c>
      <c r="J285" s="4">
        <f>I285/1.18</f>
        <v/>
      </c>
      <c r="K285" s="5" t="n">
        <v>0</v>
      </c>
      <c r="L285" s="5">
        <f>(K285)*F285</f>
        <v/>
      </c>
      <c r="M285" s="4">
        <f>J285-L285</f>
        <v/>
      </c>
      <c r="N285" s="3" t="n"/>
      <c r="O285" s="4">
        <f>M285-N285</f>
        <v/>
      </c>
      <c r="P285" s="6">
        <f>O285*1.18</f>
        <v/>
      </c>
    </row>
    <row r="286">
      <c r="A286" s="2" t="n">
        <v>471020240</v>
      </c>
      <c r="B286" s="2" t="inlineStr">
        <is>
          <t>SERVO FUTURA 0W-20-4 X 5 L PROMO</t>
        </is>
      </c>
      <c r="C286" s="3" t="inlineStr">
        <is>
          <t>CAR</t>
        </is>
      </c>
      <c r="D286" s="3" t="inlineStr">
        <is>
          <t>PCMO</t>
        </is>
      </c>
      <c r="E286" s="3" t="n">
        <v>20</v>
      </c>
      <c r="F286" s="3" t="n">
        <v>5</v>
      </c>
      <c r="G286" s="3">
        <f>E286/F286</f>
        <v/>
      </c>
      <c r="H286" s="3" t="n">
        <v>3139</v>
      </c>
      <c r="I286" s="4" t="n">
        <v>1985.1036</v>
      </c>
      <c r="J286" s="4">
        <f>I286/1.18</f>
        <v/>
      </c>
      <c r="K286" s="5" t="n">
        <v>15</v>
      </c>
      <c r="L286" s="5">
        <f>(K286)*F286</f>
        <v/>
      </c>
      <c r="M286" s="4">
        <f>J286-L286</f>
        <v/>
      </c>
      <c r="N286" s="3" t="n"/>
      <c r="O286" s="4">
        <f>M286-N286</f>
        <v/>
      </c>
      <c r="P286" s="6">
        <f>O286*1.18</f>
        <v/>
      </c>
    </row>
    <row r="287">
      <c r="A287" s="2" t="n">
        <v>473250184</v>
      </c>
      <c r="B287" s="2" t="inlineStr">
        <is>
          <t>SERVO FUTURA GEO 15W-40-20 X 1 L</t>
        </is>
      </c>
      <c r="C287" s="3" t="inlineStr">
        <is>
          <t>CAR</t>
        </is>
      </c>
      <c r="D287" s="3" t="inlineStr">
        <is>
          <t>PCMO</t>
        </is>
      </c>
      <c r="E287" s="3" t="n">
        <v>20</v>
      </c>
      <c r="F287" s="3" t="n">
        <v>1</v>
      </c>
      <c r="G287" s="3">
        <f>E287/F287</f>
        <v/>
      </c>
      <c r="H287" s="3" t="n">
        <v>422</v>
      </c>
      <c r="I287" s="4" t="n">
        <v>290.8846</v>
      </c>
      <c r="J287" s="4">
        <f>I287/1.18</f>
        <v/>
      </c>
      <c r="K287" s="5" t="n">
        <v>20</v>
      </c>
      <c r="L287" s="5">
        <f>(K287)*F287</f>
        <v/>
      </c>
      <c r="M287" s="4">
        <f>J287-L287</f>
        <v/>
      </c>
      <c r="N287" s="3" t="n"/>
      <c r="O287" s="4">
        <f>M287-N287</f>
        <v/>
      </c>
      <c r="P287" s="6">
        <f>O287*1.18</f>
        <v/>
      </c>
    </row>
    <row r="288">
      <c r="A288" s="2" t="n">
        <v>473250203</v>
      </c>
      <c r="B288" s="2" t="inlineStr">
        <is>
          <t>SERVO FUTURA GEO 15W-40-4 X 3 L</t>
        </is>
      </c>
      <c r="C288" s="3" t="inlineStr">
        <is>
          <t>CAR</t>
        </is>
      </c>
      <c r="D288" s="3" t="inlineStr">
        <is>
          <t>PCMO</t>
        </is>
      </c>
      <c r="E288" s="3" t="n">
        <v>12</v>
      </c>
      <c r="F288" s="3" t="n">
        <v>3</v>
      </c>
      <c r="G288" s="3">
        <f>E288/F288</f>
        <v/>
      </c>
      <c r="H288" s="3" t="n">
        <v>1244</v>
      </c>
      <c r="I288" s="4" t="n">
        <v>857.9867999999999</v>
      </c>
      <c r="J288" s="4">
        <f>I288/1.18</f>
        <v/>
      </c>
      <c r="K288" s="5" t="n">
        <v>0</v>
      </c>
      <c r="L288" s="5">
        <f>(K288)*F288</f>
        <v/>
      </c>
      <c r="M288" s="4">
        <f>J288-L288</f>
        <v/>
      </c>
      <c r="N288" s="3" t="n"/>
      <c r="O288" s="4">
        <f>M288-N288</f>
        <v/>
      </c>
      <c r="P288" s="6">
        <f>O288*1.18</f>
        <v/>
      </c>
    </row>
    <row r="289">
      <c r="A289" s="2" t="n">
        <v>473250204</v>
      </c>
      <c r="B289" s="2" t="inlineStr">
        <is>
          <t>SERVO FUTURA GEO 15W-40-4 X 3 L PROMO</t>
        </is>
      </c>
      <c r="C289" s="3" t="inlineStr">
        <is>
          <t>CAR</t>
        </is>
      </c>
      <c r="D289" s="3" t="inlineStr">
        <is>
          <t>PCMO</t>
        </is>
      </c>
      <c r="E289" s="3" t="n">
        <v>12</v>
      </c>
      <c r="F289" s="3" t="n">
        <v>3</v>
      </c>
      <c r="G289" s="3">
        <f>E289/F289</f>
        <v/>
      </c>
      <c r="H289" s="3" t="n">
        <v>1244</v>
      </c>
      <c r="I289" s="4" t="n">
        <v>857.9867999999999</v>
      </c>
      <c r="J289" s="4">
        <f>I289/1.18</f>
        <v/>
      </c>
      <c r="K289" s="5" t="n">
        <v>20</v>
      </c>
      <c r="L289" s="5">
        <f>(K289)*F289</f>
        <v/>
      </c>
      <c r="M289" s="4">
        <f>J289-L289</f>
        <v/>
      </c>
      <c r="N289" s="3" t="n"/>
      <c r="O289" s="4">
        <f>M289-N289</f>
        <v/>
      </c>
      <c r="P289" s="6">
        <f>O289*1.18</f>
        <v/>
      </c>
    </row>
    <row r="290">
      <c r="A290" s="2" t="n">
        <v>473250234</v>
      </c>
      <c r="B290" s="2" t="inlineStr">
        <is>
          <t>SERVO FUTURA GEO 15W-40-4 X 5 L</t>
        </is>
      </c>
      <c r="C290" s="3" t="inlineStr">
        <is>
          <t>CAR</t>
        </is>
      </c>
      <c r="D290" s="3" t="inlineStr">
        <is>
          <t>PCMO</t>
        </is>
      </c>
      <c r="E290" s="3" t="n">
        <v>20</v>
      </c>
      <c r="F290" s="3" t="n">
        <v>5</v>
      </c>
      <c r="G290" s="3">
        <f>E290/F290</f>
        <v/>
      </c>
      <c r="H290" s="3" t="n">
        <v>2067</v>
      </c>
      <c r="I290" s="4" t="n">
        <v>1426.23</v>
      </c>
      <c r="J290" s="4">
        <f>I290/1.18</f>
        <v/>
      </c>
      <c r="K290" s="5" t="n">
        <v>0</v>
      </c>
      <c r="L290" s="5">
        <f>(K290)*F290</f>
        <v/>
      </c>
      <c r="M290" s="4">
        <f>J290-L290</f>
        <v/>
      </c>
      <c r="N290" s="3" t="n"/>
      <c r="O290" s="4">
        <f>M290-N290</f>
        <v/>
      </c>
      <c r="P290" s="6">
        <f>O290*1.18</f>
        <v/>
      </c>
    </row>
    <row r="291">
      <c r="A291" s="2" t="n">
        <v>473250240</v>
      </c>
      <c r="B291" s="2" t="inlineStr">
        <is>
          <t>SERVO FUTURA GEO 15W-40-4 X 5 L PROMO</t>
        </is>
      </c>
      <c r="C291" s="3" t="inlineStr">
        <is>
          <t>CAR</t>
        </is>
      </c>
      <c r="D291" s="3" t="inlineStr">
        <is>
          <t>PCMO</t>
        </is>
      </c>
      <c r="E291" s="3" t="n">
        <v>20</v>
      </c>
      <c r="F291" s="3" t="n">
        <v>5</v>
      </c>
      <c r="G291" s="3">
        <f>E291/F291</f>
        <v/>
      </c>
      <c r="H291" s="3" t="n">
        <v>2067</v>
      </c>
      <c r="I291" s="4" t="n">
        <v>1426.23</v>
      </c>
      <c r="J291" s="4">
        <f>I291/1.18</f>
        <v/>
      </c>
      <c r="K291" s="5" t="n">
        <v>20</v>
      </c>
      <c r="L291" s="5">
        <f>(K291)*F291</f>
        <v/>
      </c>
      <c r="M291" s="4">
        <f>J291-L291</f>
        <v/>
      </c>
      <c r="N291" s="3" t="n"/>
      <c r="O291" s="4">
        <f>M291-N291</f>
        <v/>
      </c>
      <c r="P291" s="6">
        <f>O291*1.18</f>
        <v/>
      </c>
    </row>
    <row r="292">
      <c r="A292" s="2" t="n">
        <v>473250241</v>
      </c>
      <c r="B292" s="2" t="inlineStr">
        <is>
          <t>SERVO FUTURA GEO 15W-40-10 L PROMO</t>
        </is>
      </c>
      <c r="C292" s="3" t="inlineStr">
        <is>
          <t>BUC</t>
        </is>
      </c>
      <c r="D292" s="3" t="inlineStr">
        <is>
          <t>PCMO</t>
        </is>
      </c>
      <c r="E292" s="3" t="n">
        <v>10</v>
      </c>
      <c r="F292" s="3" t="n">
        <v>10</v>
      </c>
      <c r="G292" s="3">
        <f>E292/F292</f>
        <v/>
      </c>
      <c r="H292" s="3" t="n">
        <v>4132</v>
      </c>
      <c r="I292" s="4" t="n">
        <v>2852.3196</v>
      </c>
      <c r="J292" s="4">
        <f>I292/1.18</f>
        <v/>
      </c>
      <c r="K292" s="5" t="n">
        <v>20</v>
      </c>
      <c r="L292" s="5">
        <f>(K292)*F292</f>
        <v/>
      </c>
      <c r="M292" s="4">
        <f>J292-L292</f>
        <v/>
      </c>
      <c r="N292" s="3" t="n"/>
      <c r="O292" s="4">
        <f>M292-N292</f>
        <v/>
      </c>
      <c r="P292" s="6">
        <f>O292*1.18</f>
        <v/>
      </c>
    </row>
    <row r="293">
      <c r="A293" s="2" t="n">
        <v>473250242</v>
      </c>
      <c r="B293" s="2" t="inlineStr">
        <is>
          <t>SERVO FUTURA GEO 15W-40-10 L</t>
        </is>
      </c>
      <c r="C293" s="3" t="inlineStr">
        <is>
          <t>BUC</t>
        </is>
      </c>
      <c r="D293" s="3" t="inlineStr">
        <is>
          <t>PCMO</t>
        </is>
      </c>
      <c r="E293" s="3" t="n">
        <v>10</v>
      </c>
      <c r="F293" s="3" t="n">
        <v>10</v>
      </c>
      <c r="G293" s="3">
        <f>E293/F293</f>
        <v/>
      </c>
      <c r="H293" s="3" t="n">
        <v>4132</v>
      </c>
      <c r="I293" s="4" t="n">
        <v>2852.3196</v>
      </c>
      <c r="J293" s="4">
        <f>I293/1.18</f>
        <v/>
      </c>
      <c r="K293" s="5" t="n">
        <v>0</v>
      </c>
      <c r="L293" s="5">
        <f>(K293)*F293</f>
        <v/>
      </c>
      <c r="M293" s="4">
        <f>J293-L293</f>
        <v/>
      </c>
      <c r="N293" s="3" t="n"/>
      <c r="O293" s="4">
        <f>M293-N293</f>
        <v/>
      </c>
      <c r="P293" s="6">
        <f>O293*1.18</f>
        <v/>
      </c>
    </row>
    <row r="294">
      <c r="A294" s="2" t="n">
        <v>473250250</v>
      </c>
      <c r="B294" s="2" t="inlineStr">
        <is>
          <t>SERVO FUTURA GEO 15W-40-7.5 L PROMO</t>
        </is>
      </c>
      <c r="C294" s="3" t="inlineStr">
        <is>
          <t>BUC</t>
        </is>
      </c>
      <c r="D294" s="3" t="inlineStr">
        <is>
          <t>PCMO</t>
        </is>
      </c>
      <c r="E294" s="3" t="n">
        <v>7.5</v>
      </c>
      <c r="F294" s="3" t="n">
        <v>7.5</v>
      </c>
      <c r="G294" s="3">
        <f>E294/F294</f>
        <v/>
      </c>
      <c r="H294" s="3" t="n">
        <v>3092</v>
      </c>
      <c r="I294" s="4" t="n">
        <v>2134.4076</v>
      </c>
      <c r="J294" s="4">
        <f>I294/1.18</f>
        <v/>
      </c>
      <c r="K294" s="5" t="n">
        <v>20</v>
      </c>
      <c r="L294" s="5">
        <f>(K294)*F294</f>
        <v/>
      </c>
      <c r="M294" s="4">
        <f>J294-L294</f>
        <v/>
      </c>
      <c r="N294" s="3" t="n"/>
      <c r="O294" s="4">
        <f>M294-N294</f>
        <v/>
      </c>
      <c r="P294" s="6">
        <f>O294*1.18</f>
        <v/>
      </c>
    </row>
    <row r="295">
      <c r="A295" s="2" t="n">
        <v>473250251</v>
      </c>
      <c r="B295" s="2" t="inlineStr">
        <is>
          <t>SERVO FUTURA GEO 15W-40-7.5 L</t>
        </is>
      </c>
      <c r="C295" s="3" t="inlineStr">
        <is>
          <t>BUC</t>
        </is>
      </c>
      <c r="D295" s="3" t="inlineStr">
        <is>
          <t>PCMO</t>
        </is>
      </c>
      <c r="E295" s="3" t="n">
        <v>7.5</v>
      </c>
      <c r="F295" s="3" t="n">
        <v>7.5</v>
      </c>
      <c r="G295" s="3">
        <f>E295/F295</f>
        <v/>
      </c>
      <c r="H295" s="3" t="n">
        <v>3092</v>
      </c>
      <c r="I295" s="4" t="n">
        <v>2134.4076</v>
      </c>
      <c r="J295" s="4">
        <f>I295/1.18</f>
        <v/>
      </c>
      <c r="K295" s="5" t="n">
        <v>0</v>
      </c>
      <c r="L295" s="5">
        <f>(K295)*F295</f>
        <v/>
      </c>
      <c r="M295" s="4">
        <f>J295-L295</f>
        <v/>
      </c>
      <c r="N295" s="3" t="n"/>
      <c r="O295" s="4">
        <f>M295-N295</f>
        <v/>
      </c>
      <c r="P295" s="6">
        <f>O295*1.18</f>
        <v/>
      </c>
    </row>
    <row r="296">
      <c r="A296" s="2" t="n">
        <v>473250253</v>
      </c>
      <c r="B296" s="2" t="inlineStr">
        <is>
          <t>SERVO FUTURA GEO 15W-40-15 L PROMO</t>
        </is>
      </c>
      <c r="C296" s="3" t="inlineStr">
        <is>
          <t>BUC</t>
        </is>
      </c>
      <c r="D296" s="3" t="inlineStr">
        <is>
          <t>PCMO</t>
        </is>
      </c>
      <c r="E296" s="3" t="n">
        <v>15</v>
      </c>
      <c r="F296" s="3" t="n">
        <v>15</v>
      </c>
      <c r="G296" s="3">
        <f>E296/F296</f>
        <v/>
      </c>
      <c r="H296" s="3" t="n">
        <v>6152</v>
      </c>
      <c r="I296" s="4" t="n">
        <v>4246.7256</v>
      </c>
      <c r="J296" s="4">
        <f>I296/1.18</f>
        <v/>
      </c>
      <c r="K296" s="5" t="n">
        <v>20</v>
      </c>
      <c r="L296" s="5">
        <f>(K296)*F296</f>
        <v/>
      </c>
      <c r="M296" s="4">
        <f>J296-L296</f>
        <v/>
      </c>
      <c r="N296" s="3" t="n"/>
      <c r="O296" s="4">
        <f>M296-N296</f>
        <v/>
      </c>
      <c r="P296" s="6">
        <f>O296*1.18</f>
        <v/>
      </c>
    </row>
    <row r="297">
      <c r="A297" s="2" t="n">
        <v>473250256</v>
      </c>
      <c r="B297" s="2" t="inlineStr">
        <is>
          <t>SERVO FUTURA GEO 15W-40-15 L</t>
        </is>
      </c>
      <c r="C297" s="3" t="inlineStr">
        <is>
          <t>BUC</t>
        </is>
      </c>
      <c r="D297" s="3" t="inlineStr">
        <is>
          <t>PCMO</t>
        </is>
      </c>
      <c r="E297" s="3" t="n">
        <v>15</v>
      </c>
      <c r="F297" s="3" t="n">
        <v>15</v>
      </c>
      <c r="G297" s="3">
        <f>E297/F297</f>
        <v/>
      </c>
      <c r="H297" s="3" t="n">
        <v>6152</v>
      </c>
      <c r="I297" s="4" t="n">
        <v>4246.7256</v>
      </c>
      <c r="J297" s="4">
        <f>I297/1.18</f>
        <v/>
      </c>
      <c r="K297" s="5" t="n">
        <v>0</v>
      </c>
      <c r="L297" s="5">
        <f>(K297)*F297</f>
        <v/>
      </c>
      <c r="M297" s="4">
        <f>J297-L297</f>
        <v/>
      </c>
      <c r="N297" s="3" t="n"/>
      <c r="O297" s="4">
        <f>M297-N297</f>
        <v/>
      </c>
      <c r="P297" s="6">
        <f>O297*1.18</f>
        <v/>
      </c>
    </row>
    <row r="298">
      <c r="A298" s="2" t="n">
        <v>473250265</v>
      </c>
      <c r="B298" s="2" t="inlineStr">
        <is>
          <t>SERVO FUTURA GEO 15W-40-20 L</t>
        </is>
      </c>
      <c r="C298" s="3" t="inlineStr">
        <is>
          <t>BUC</t>
        </is>
      </c>
      <c r="D298" s="3" t="inlineStr">
        <is>
          <t>PCMO</t>
        </is>
      </c>
      <c r="E298" s="3" t="n">
        <v>20</v>
      </c>
      <c r="F298" s="3" t="n">
        <v>20</v>
      </c>
      <c r="G298" s="3">
        <f>E298/F298</f>
        <v/>
      </c>
      <c r="H298" s="3" t="n">
        <v>8193</v>
      </c>
      <c r="I298" s="4" t="n">
        <v>5656.447200000001</v>
      </c>
      <c r="J298" s="4">
        <f>I298/1.18</f>
        <v/>
      </c>
      <c r="K298" s="5" t="n">
        <v>0</v>
      </c>
      <c r="L298" s="5">
        <f>(K298)*F298</f>
        <v/>
      </c>
      <c r="M298" s="4">
        <f>J298-L298</f>
        <v/>
      </c>
      <c r="N298" s="3" t="n"/>
      <c r="O298" s="4">
        <f>M298-N298</f>
        <v/>
      </c>
      <c r="P298" s="6">
        <f>O298*1.18</f>
        <v/>
      </c>
    </row>
    <row r="299">
      <c r="A299" s="2" t="n">
        <v>473250269</v>
      </c>
      <c r="B299" s="2" t="inlineStr">
        <is>
          <t>SERVO FUTURA GEO 15W-40-20 L PROMO</t>
        </is>
      </c>
      <c r="C299" s="3" t="inlineStr">
        <is>
          <t>BUC</t>
        </is>
      </c>
      <c r="D299" s="3" t="inlineStr">
        <is>
          <t>PCMO</t>
        </is>
      </c>
      <c r="E299" s="3" t="n">
        <v>20</v>
      </c>
      <c r="F299" s="3" t="n">
        <v>20</v>
      </c>
      <c r="G299" s="3">
        <f>E299/F299</f>
        <v/>
      </c>
      <c r="H299" s="3" t="n">
        <v>8193</v>
      </c>
      <c r="I299" s="4" t="n">
        <v>5656.447200000001</v>
      </c>
      <c r="J299" s="4">
        <f>I299/1.18</f>
        <v/>
      </c>
      <c r="K299" s="5" t="n">
        <v>20</v>
      </c>
      <c r="L299" s="5">
        <f>(K299)*F299</f>
        <v/>
      </c>
      <c r="M299" s="4">
        <f>J299-L299</f>
        <v/>
      </c>
      <c r="N299" s="3" t="n"/>
      <c r="O299" s="4">
        <f>M299-N299</f>
        <v/>
      </c>
      <c r="P299" s="6">
        <f>O299*1.18</f>
        <v/>
      </c>
    </row>
    <row r="300">
      <c r="A300" s="2" t="n">
        <v>473750136</v>
      </c>
      <c r="B300" s="2" t="inlineStr">
        <is>
          <t>SERVO PRIDE XL PLUS 15W-40.-18 L PROMO</t>
        </is>
      </c>
      <c r="C300" s="3" t="inlineStr">
        <is>
          <t>BUC</t>
        </is>
      </c>
      <c r="D300" s="3" t="inlineStr">
        <is>
          <t>CVO</t>
        </is>
      </c>
      <c r="E300" s="3" t="n">
        <v>18</v>
      </c>
      <c r="F300" s="3" t="n">
        <v>18</v>
      </c>
      <c r="G300" s="3">
        <f>E300/F300</f>
        <v/>
      </c>
      <c r="H300" s="3" t="n">
        <v>8460</v>
      </c>
      <c r="I300" s="4" t="n">
        <v>5732.496000000001</v>
      </c>
      <c r="J300" s="4">
        <f>I300/1.18</f>
        <v/>
      </c>
      <c r="K300" s="5" t="n">
        <v>20</v>
      </c>
      <c r="L300" s="5">
        <f>(K300)*F300</f>
        <v/>
      </c>
      <c r="M300" s="4">
        <f>J300-L300</f>
        <v/>
      </c>
      <c r="N300" s="3" t="n"/>
      <c r="O300" s="4">
        <f>M300-N300</f>
        <v/>
      </c>
      <c r="P300" s="6">
        <f>O300*1.18</f>
        <v/>
      </c>
    </row>
    <row r="301">
      <c r="A301" s="2" t="n">
        <v>473750184</v>
      </c>
      <c r="B301" s="2" t="inlineStr">
        <is>
          <t>SERVO PRIDE XL PLUS 15W-40.-20 X 1 L</t>
        </is>
      </c>
      <c r="C301" s="3" t="inlineStr">
        <is>
          <t>CAR</t>
        </is>
      </c>
      <c r="D301" s="3" t="inlineStr">
        <is>
          <t>CVO</t>
        </is>
      </c>
      <c r="E301" s="3" t="n">
        <v>20</v>
      </c>
      <c r="F301" s="3" t="n">
        <v>1</v>
      </c>
      <c r="G301" s="3">
        <f>E301/F301</f>
        <v/>
      </c>
      <c r="H301" s="3" t="n">
        <v>475</v>
      </c>
      <c r="I301" s="4" t="n">
        <v>329.6975</v>
      </c>
      <c r="J301" s="4">
        <f>I301/1.18</f>
        <v/>
      </c>
      <c r="K301" s="5" t="n">
        <v>20</v>
      </c>
      <c r="L301" s="5">
        <f>(K301)*F301</f>
        <v/>
      </c>
      <c r="M301" s="4">
        <f>J301-L301</f>
        <v/>
      </c>
      <c r="N301" s="3" t="n"/>
      <c r="O301" s="4">
        <f>M301-N301</f>
        <v/>
      </c>
      <c r="P301" s="6">
        <f>O301*1.18</f>
        <v/>
      </c>
    </row>
    <row r="302">
      <c r="A302" s="2" t="n">
        <v>473750203</v>
      </c>
      <c r="B302" s="2" t="inlineStr">
        <is>
          <t>SERVO PRIDE XL PLUS 15W-40.-4 X 3 L</t>
        </is>
      </c>
      <c r="C302" s="3" t="inlineStr">
        <is>
          <t>CAR</t>
        </is>
      </c>
      <c r="D302" s="3" t="inlineStr">
        <is>
          <t>CVO</t>
        </is>
      </c>
      <c r="E302" s="3" t="n">
        <v>12</v>
      </c>
      <c r="F302" s="3" t="n">
        <v>3</v>
      </c>
      <c r="G302" s="3">
        <f>E302/F302</f>
        <v/>
      </c>
      <c r="H302" s="3" t="n">
        <v>1410</v>
      </c>
      <c r="I302" s="4" t="n">
        <v>982.4880000000001</v>
      </c>
      <c r="J302" s="4">
        <f>I302/1.18</f>
        <v/>
      </c>
      <c r="K302" s="5" t="n">
        <v>0</v>
      </c>
      <c r="L302" s="5">
        <f>(K302)*F302</f>
        <v/>
      </c>
      <c r="M302" s="4">
        <f>J302-L302</f>
        <v/>
      </c>
      <c r="N302" s="3" t="n"/>
      <c r="O302" s="4">
        <f>M302-N302</f>
        <v/>
      </c>
      <c r="P302" s="6">
        <f>O302*1.18</f>
        <v/>
      </c>
    </row>
    <row r="303">
      <c r="A303" s="2" t="n">
        <v>473750204</v>
      </c>
      <c r="B303" s="2" t="inlineStr">
        <is>
          <t>SERVO PRIDE XL PLUS 15W-40.-4X 3 L PROMO</t>
        </is>
      </c>
      <c r="C303" s="3" t="inlineStr">
        <is>
          <t>CAR</t>
        </is>
      </c>
      <c r="D303" s="3" t="inlineStr">
        <is>
          <t>CVO</t>
        </is>
      </c>
      <c r="E303" s="3" t="n">
        <v>12</v>
      </c>
      <c r="F303" s="3" t="n">
        <v>3</v>
      </c>
      <c r="G303" s="3">
        <f>E303/F303</f>
        <v/>
      </c>
      <c r="H303" s="3" t="n">
        <v>1410</v>
      </c>
      <c r="I303" s="4" t="n">
        <v>982.4880000000001</v>
      </c>
      <c r="J303" s="4">
        <f>I303/1.18</f>
        <v/>
      </c>
      <c r="K303" s="5" t="n">
        <v>30</v>
      </c>
      <c r="L303" s="5">
        <f>(K303)*F303</f>
        <v/>
      </c>
      <c r="M303" s="4">
        <f>J303-L303</f>
        <v/>
      </c>
      <c r="N303" s="3" t="n"/>
      <c r="O303" s="4">
        <f>M303-N303</f>
        <v/>
      </c>
      <c r="P303" s="6">
        <f>O303*1.18</f>
        <v/>
      </c>
    </row>
    <row r="304">
      <c r="A304" s="2" t="n">
        <v>473750229</v>
      </c>
      <c r="B304" s="2" t="inlineStr">
        <is>
          <t>SERVO PRIDE XL PLUS 15W-40.-20X1 L PROMO</t>
        </is>
      </c>
      <c r="C304" s="3" t="inlineStr">
        <is>
          <t>CAR</t>
        </is>
      </c>
      <c r="D304" s="3" t="inlineStr">
        <is>
          <t>CVO</t>
        </is>
      </c>
      <c r="E304" s="3" t="n">
        <v>20</v>
      </c>
      <c r="F304" s="3" t="n">
        <v>1</v>
      </c>
      <c r="G304" s="3">
        <f>E304/F304</f>
        <v/>
      </c>
      <c r="H304" s="3" t="n">
        <v>475</v>
      </c>
      <c r="I304" s="4" t="n">
        <v>329.6975</v>
      </c>
      <c r="J304" s="4">
        <f>I304/1.18</f>
        <v/>
      </c>
      <c r="K304" s="5" t="n">
        <v>0</v>
      </c>
      <c r="L304" s="5">
        <f>(K304)*F304</f>
        <v/>
      </c>
      <c r="M304" s="4">
        <f>J304-L304</f>
        <v/>
      </c>
      <c r="N304" s="3" t="n"/>
      <c r="O304" s="4">
        <f>M304-N304</f>
        <v/>
      </c>
      <c r="P304" s="6">
        <f>O304*1.18</f>
        <v/>
      </c>
    </row>
    <row r="305">
      <c r="A305" s="2" t="n">
        <v>473750234</v>
      </c>
      <c r="B305" s="2" t="inlineStr">
        <is>
          <t>SERVO PRIDE XL PLUS 15W-40.-4 X 5 L</t>
        </is>
      </c>
      <c r="C305" s="3" t="inlineStr">
        <is>
          <t>CAR</t>
        </is>
      </c>
      <c r="D305" s="3" t="inlineStr">
        <is>
          <t>CVO</t>
        </is>
      </c>
      <c r="E305" s="3" t="n">
        <v>20</v>
      </c>
      <c r="F305" s="3" t="n">
        <v>5</v>
      </c>
      <c r="G305" s="3">
        <f>E305/F305</f>
        <v/>
      </c>
      <c r="H305" s="3" t="n">
        <v>2350</v>
      </c>
      <c r="I305" s="4" t="n">
        <v>1630.9</v>
      </c>
      <c r="J305" s="4">
        <f>I305/1.18</f>
        <v/>
      </c>
      <c r="K305" s="5" t="n">
        <v>0</v>
      </c>
      <c r="L305" s="5">
        <f>(K305)*F305</f>
        <v/>
      </c>
      <c r="M305" s="4">
        <f>J305-L305</f>
        <v/>
      </c>
      <c r="N305" s="3" t="n"/>
      <c r="O305" s="4">
        <f>M305-N305</f>
        <v/>
      </c>
      <c r="P305" s="6">
        <f>O305*1.18</f>
        <v/>
      </c>
    </row>
    <row r="306">
      <c r="A306" s="2" t="n">
        <v>473750240</v>
      </c>
      <c r="B306" s="2" t="inlineStr">
        <is>
          <t>SERVO PRIDE XL PLUS 15W-40.-4X5 L PROMO</t>
        </is>
      </c>
      <c r="C306" s="3" t="inlineStr">
        <is>
          <t>CAR</t>
        </is>
      </c>
      <c r="D306" s="3" t="inlineStr">
        <is>
          <t>CVO</t>
        </is>
      </c>
      <c r="E306" s="3" t="n">
        <v>20</v>
      </c>
      <c r="F306" s="3" t="n">
        <v>5</v>
      </c>
      <c r="G306" s="3">
        <f>E306/F306</f>
        <v/>
      </c>
      <c r="H306" s="3" t="n">
        <v>2350</v>
      </c>
      <c r="I306" s="4" t="n">
        <v>1630.9</v>
      </c>
      <c r="J306" s="4">
        <f>I306/1.18</f>
        <v/>
      </c>
      <c r="K306" s="5" t="n">
        <v>20</v>
      </c>
      <c r="L306" s="5">
        <f>(K306)*F306</f>
        <v/>
      </c>
      <c r="M306" s="4">
        <f>J306-L306</f>
        <v/>
      </c>
      <c r="N306" s="3" t="n"/>
      <c r="O306" s="4">
        <f>M306-N306</f>
        <v/>
      </c>
      <c r="P306" s="6">
        <f>O306*1.18</f>
        <v/>
      </c>
    </row>
    <row r="307">
      <c r="A307" s="2" t="n">
        <v>473750241</v>
      </c>
      <c r="B307" s="2" t="inlineStr">
        <is>
          <t>SERVO PRIDE XL PLUS 15W-40.-10 L PROMO</t>
        </is>
      </c>
      <c r="C307" s="3" t="inlineStr">
        <is>
          <t>BUC</t>
        </is>
      </c>
      <c r="D307" s="3" t="inlineStr">
        <is>
          <t>CVO</t>
        </is>
      </c>
      <c r="E307" s="3" t="n">
        <v>10</v>
      </c>
      <c r="F307" s="3" t="n">
        <v>10</v>
      </c>
      <c r="G307" s="3">
        <f>E307/F307</f>
        <v/>
      </c>
      <c r="H307" s="3" t="n">
        <v>4700</v>
      </c>
      <c r="I307" s="4" t="n">
        <v>3238.77</v>
      </c>
      <c r="J307" s="4">
        <f>I307/1.18</f>
        <v/>
      </c>
      <c r="K307" s="5" t="n">
        <v>20</v>
      </c>
      <c r="L307" s="5">
        <f>(K307)*F307</f>
        <v/>
      </c>
      <c r="M307" s="4">
        <f>J307-L307</f>
        <v/>
      </c>
      <c r="N307" s="3" t="n"/>
      <c r="O307" s="4">
        <f>M307-N307</f>
        <v/>
      </c>
      <c r="P307" s="6">
        <f>O307*1.18</f>
        <v/>
      </c>
    </row>
    <row r="308">
      <c r="A308" s="2" t="n">
        <v>473750242</v>
      </c>
      <c r="B308" s="2" t="inlineStr">
        <is>
          <t>SERVO PRIDE XL PLUS 15W-40.-10 L</t>
        </is>
      </c>
      <c r="C308" s="3" t="inlineStr">
        <is>
          <t>BUC</t>
        </is>
      </c>
      <c r="D308" s="3" t="inlineStr">
        <is>
          <t>CVO</t>
        </is>
      </c>
      <c r="E308" s="3" t="n">
        <v>10</v>
      </c>
      <c r="F308" s="3" t="n">
        <v>10</v>
      </c>
      <c r="G308" s="3">
        <f>E308/F308</f>
        <v/>
      </c>
      <c r="H308" s="3" t="n">
        <v>4700</v>
      </c>
      <c r="I308" s="4" t="n">
        <v>3238.77</v>
      </c>
      <c r="J308" s="4">
        <f>I308/1.18</f>
        <v/>
      </c>
      <c r="K308" s="5" t="n">
        <v>0</v>
      </c>
      <c r="L308" s="5">
        <f>(K308)*F308</f>
        <v/>
      </c>
      <c r="M308" s="4">
        <f>J308-L308</f>
        <v/>
      </c>
      <c r="N308" s="3" t="n"/>
      <c r="O308" s="4">
        <f>M308-N308</f>
        <v/>
      </c>
      <c r="P308" s="6">
        <f>O308*1.18</f>
        <v/>
      </c>
    </row>
    <row r="309">
      <c r="A309" s="2" t="n">
        <v>473750250</v>
      </c>
      <c r="B309" s="2" t="inlineStr">
        <is>
          <t>SERVO PRIDE XL PLUS 15W-40.-7.5 L PROMO</t>
        </is>
      </c>
      <c r="C309" s="3" t="inlineStr">
        <is>
          <t>BUC</t>
        </is>
      </c>
      <c r="D309" s="3" t="inlineStr">
        <is>
          <t>CVO</t>
        </is>
      </c>
      <c r="E309" s="3" t="n">
        <v>7.5</v>
      </c>
      <c r="F309" s="3" t="n">
        <v>7.5</v>
      </c>
      <c r="G309" s="3">
        <f>E309/F309</f>
        <v/>
      </c>
      <c r="H309" s="3" t="n">
        <v>3525</v>
      </c>
      <c r="I309" s="4" t="n">
        <v>2445.9975</v>
      </c>
      <c r="J309" s="4">
        <f>I309/1.18</f>
        <v/>
      </c>
      <c r="K309" s="5" t="n">
        <v>20</v>
      </c>
      <c r="L309" s="5">
        <f>(K309)*F309</f>
        <v/>
      </c>
      <c r="M309" s="4">
        <f>J309-L309</f>
        <v/>
      </c>
      <c r="N309" s="3" t="n"/>
      <c r="O309" s="4">
        <f>M309-N309</f>
        <v/>
      </c>
      <c r="P309" s="6">
        <f>O309*1.18</f>
        <v/>
      </c>
    </row>
    <row r="310">
      <c r="A310" s="2" t="n">
        <v>473750251</v>
      </c>
      <c r="B310" s="2" t="inlineStr">
        <is>
          <t>SERVO PRIDE XL PLUS 15W-40.-7.5 L</t>
        </is>
      </c>
      <c r="C310" s="3" t="inlineStr">
        <is>
          <t>BUC</t>
        </is>
      </c>
      <c r="D310" s="3" t="inlineStr">
        <is>
          <t>CVO</t>
        </is>
      </c>
      <c r="E310" s="3" t="n">
        <v>7.5</v>
      </c>
      <c r="F310" s="3" t="n">
        <v>7.5</v>
      </c>
      <c r="G310" s="3">
        <f>E310/F310</f>
        <v/>
      </c>
      <c r="H310" s="3" t="n">
        <v>3525</v>
      </c>
      <c r="I310" s="4" t="n">
        <v>2445.9975</v>
      </c>
      <c r="J310" s="4">
        <f>I310/1.18</f>
        <v/>
      </c>
      <c r="K310" s="5" t="n">
        <v>0</v>
      </c>
      <c r="L310" s="5">
        <f>(K310)*F310</f>
        <v/>
      </c>
      <c r="M310" s="4">
        <f>J310-L310</f>
        <v/>
      </c>
      <c r="N310" s="3" t="n"/>
      <c r="O310" s="4">
        <f>M310-N310</f>
        <v/>
      </c>
      <c r="P310" s="6">
        <f>O310*1.18</f>
        <v/>
      </c>
    </row>
    <row r="311">
      <c r="A311" s="2" t="n">
        <v>473750253</v>
      </c>
      <c r="B311" s="2" t="inlineStr">
        <is>
          <t>SERVO PRIDE XL PLUS 15W-40.-15 L PROMO</t>
        </is>
      </c>
      <c r="C311" s="3" t="inlineStr">
        <is>
          <t>BUC</t>
        </is>
      </c>
      <c r="D311" s="3" t="inlineStr">
        <is>
          <t>CVO</t>
        </is>
      </c>
      <c r="E311" s="3" t="n">
        <v>15</v>
      </c>
      <c r="F311" s="3" t="n">
        <v>15</v>
      </c>
      <c r="G311" s="3">
        <f>E311/F311</f>
        <v/>
      </c>
      <c r="H311" s="3" t="n">
        <v>7050</v>
      </c>
      <c r="I311" s="4" t="n">
        <v>4822.200000000001</v>
      </c>
      <c r="J311" s="4">
        <f>I311/1.18</f>
        <v/>
      </c>
      <c r="K311" s="5" t="n">
        <v>20</v>
      </c>
      <c r="L311" s="5">
        <f>(K311)*F311</f>
        <v/>
      </c>
      <c r="M311" s="4">
        <f>J311-L311</f>
        <v/>
      </c>
      <c r="N311" s="3" t="n"/>
      <c r="O311" s="4">
        <f>M311-N311</f>
        <v/>
      </c>
      <c r="P311" s="6">
        <f>O311*1.18</f>
        <v/>
      </c>
    </row>
    <row r="312">
      <c r="A312" s="2" t="n">
        <v>473750254</v>
      </c>
      <c r="B312" s="2" t="inlineStr">
        <is>
          <t>SERVO PRIDE XL PLUS 15W-40.-18 L</t>
        </is>
      </c>
      <c r="C312" s="3" t="inlineStr">
        <is>
          <t>BUC</t>
        </is>
      </c>
      <c r="D312" s="3" t="inlineStr">
        <is>
          <t>CVO</t>
        </is>
      </c>
      <c r="E312" s="3" t="n">
        <v>18</v>
      </c>
      <c r="F312" s="3" t="n">
        <v>18</v>
      </c>
      <c r="G312" s="3">
        <f>E312/F312</f>
        <v/>
      </c>
      <c r="H312" s="3" t="n">
        <v>8460</v>
      </c>
      <c r="I312" s="4" t="n">
        <v>5732.496000000001</v>
      </c>
      <c r="J312" s="4">
        <f>I312/1.18</f>
        <v/>
      </c>
      <c r="K312" s="5" t="n">
        <v>0</v>
      </c>
      <c r="L312" s="5">
        <f>(K312)*F312</f>
        <v/>
      </c>
      <c r="M312" s="4">
        <f>J312-L312</f>
        <v/>
      </c>
      <c r="N312" s="3" t="n"/>
      <c r="O312" s="4">
        <f>M312-N312</f>
        <v/>
      </c>
      <c r="P312" s="6">
        <f>O312*1.18</f>
        <v/>
      </c>
    </row>
    <row r="313">
      <c r="A313" s="2" t="n">
        <v>473750256</v>
      </c>
      <c r="B313" s="2" t="inlineStr">
        <is>
          <t>SERVO PRIDE XL PLUS 15W-40.-15 L</t>
        </is>
      </c>
      <c r="C313" s="3" t="inlineStr">
        <is>
          <t>BUC</t>
        </is>
      </c>
      <c r="D313" s="3" t="inlineStr">
        <is>
          <t>CVO</t>
        </is>
      </c>
      <c r="E313" s="3" t="n">
        <v>15</v>
      </c>
      <c r="F313" s="3" t="n">
        <v>15</v>
      </c>
      <c r="G313" s="3">
        <f>E313/F313</f>
        <v/>
      </c>
      <c r="H313" s="3" t="n">
        <v>7050</v>
      </c>
      <c r="I313" s="4" t="n">
        <v>4822.200000000001</v>
      </c>
      <c r="J313" s="4">
        <f>I313/1.18</f>
        <v/>
      </c>
      <c r="K313" s="5" t="n">
        <v>0</v>
      </c>
      <c r="L313" s="5">
        <f>(K313)*F313</f>
        <v/>
      </c>
      <c r="M313" s="4">
        <f>J313-L313</f>
        <v/>
      </c>
      <c r="N313" s="3" t="n"/>
      <c r="O313" s="4">
        <f>M313-N313</f>
        <v/>
      </c>
      <c r="P313" s="6">
        <f>O313*1.18</f>
        <v/>
      </c>
    </row>
    <row r="314">
      <c r="A314" s="2" t="n">
        <v>473750265</v>
      </c>
      <c r="B314" s="2" t="inlineStr">
        <is>
          <t>SERVO PRIDE XL PLUS 15W-40.-20 L</t>
        </is>
      </c>
      <c r="C314" s="3" t="inlineStr">
        <is>
          <t>BUC</t>
        </is>
      </c>
      <c r="D314" s="3" t="inlineStr">
        <is>
          <t>CVO</t>
        </is>
      </c>
      <c r="E314" s="3" t="n">
        <v>20</v>
      </c>
      <c r="F314" s="3" t="n">
        <v>20</v>
      </c>
      <c r="G314" s="3">
        <f>E314/F314</f>
        <v/>
      </c>
      <c r="H314" s="3" t="n">
        <v>9400</v>
      </c>
      <c r="I314" s="4" t="n">
        <v>6365.68</v>
      </c>
      <c r="J314" s="4">
        <f>I314/1.18</f>
        <v/>
      </c>
      <c r="K314" s="5" t="n">
        <v>0</v>
      </c>
      <c r="L314" s="5">
        <f>(K314)*F314</f>
        <v/>
      </c>
      <c r="M314" s="4">
        <f>J314-L314</f>
        <v/>
      </c>
      <c r="N314" s="3" t="n"/>
      <c r="O314" s="4">
        <f>M314-N314</f>
        <v/>
      </c>
      <c r="P314" s="6">
        <f>O314*1.18</f>
        <v/>
      </c>
    </row>
    <row r="315">
      <c r="A315" s="2" t="n">
        <v>473750269</v>
      </c>
      <c r="B315" s="2" t="inlineStr">
        <is>
          <t>SERVO PRIDE XL PLUS 15W-40.-20 L PROMO</t>
        </is>
      </c>
      <c r="C315" s="3" t="inlineStr">
        <is>
          <t>BUC</t>
        </is>
      </c>
      <c r="D315" s="3" t="inlineStr">
        <is>
          <t>CVO</t>
        </is>
      </c>
      <c r="E315" s="3" t="n">
        <v>20</v>
      </c>
      <c r="F315" s="3" t="n">
        <v>20</v>
      </c>
      <c r="G315" s="3">
        <f>E315/F315</f>
        <v/>
      </c>
      <c r="H315" s="3" t="n">
        <v>9400</v>
      </c>
      <c r="I315" s="4" t="n">
        <v>6365.68</v>
      </c>
      <c r="J315" s="4">
        <f>I315/1.18</f>
        <v/>
      </c>
      <c r="K315" s="5" t="n">
        <v>20</v>
      </c>
      <c r="L315" s="5">
        <f>(K315)*F315</f>
        <v/>
      </c>
      <c r="M315" s="4">
        <f>J315-L315</f>
        <v/>
      </c>
      <c r="N315" s="3" t="n"/>
      <c r="O315" s="4">
        <f>M315-N315</f>
        <v/>
      </c>
      <c r="P315" s="6">
        <f>O315*1.18</f>
        <v/>
      </c>
    </row>
    <row r="316">
      <c r="A316" s="2" t="n">
        <v>474300111</v>
      </c>
      <c r="B316" s="2" t="inlineStr">
        <is>
          <t>SERVO FUTURA 5W-30-4X3.5 L PROMO</t>
        </is>
      </c>
      <c r="C316" s="3" t="inlineStr">
        <is>
          <t>CAR</t>
        </is>
      </c>
      <c r="D316" s="3" t="inlineStr">
        <is>
          <t>PCMO</t>
        </is>
      </c>
      <c r="E316" s="3" t="n">
        <v>14</v>
      </c>
      <c r="F316" s="3" t="n">
        <v>3.5</v>
      </c>
      <c r="G316" s="3">
        <f>E316/F316</f>
        <v/>
      </c>
      <c r="H316" s="3" t="n">
        <v>2238</v>
      </c>
      <c r="I316" s="4" t="n">
        <v>1381.5174</v>
      </c>
      <c r="J316" s="4">
        <f>I316/1.18</f>
        <v/>
      </c>
      <c r="K316" s="5" t="n">
        <v>10</v>
      </c>
      <c r="L316" s="5">
        <f>(K316)*F316</f>
        <v/>
      </c>
      <c r="M316" s="4">
        <f>J316-L316</f>
        <v/>
      </c>
      <c r="N316" s="3" t="n"/>
      <c r="O316" s="4">
        <f>M316-N316</f>
        <v/>
      </c>
      <c r="P316" s="6">
        <f>O316*1.18</f>
        <v/>
      </c>
    </row>
    <row r="317">
      <c r="A317" s="2" t="n">
        <v>474300184</v>
      </c>
      <c r="B317" s="2" t="inlineStr">
        <is>
          <t>SERVO FUTURA 5W-30-20 X 1 L</t>
        </is>
      </c>
      <c r="C317" s="3" t="inlineStr">
        <is>
          <t>CAR</t>
        </is>
      </c>
      <c r="D317" s="3" t="inlineStr">
        <is>
          <t>PCMO</t>
        </is>
      </c>
      <c r="E317" s="3" t="n">
        <v>20</v>
      </c>
      <c r="F317" s="3" t="n">
        <v>1</v>
      </c>
      <c r="G317" s="3">
        <f>E317/F317</f>
        <v/>
      </c>
      <c r="H317" s="3" t="n">
        <v>640</v>
      </c>
      <c r="I317" s="4" t="n">
        <v>394.752</v>
      </c>
      <c r="J317" s="4">
        <f>I317/1.18</f>
        <v/>
      </c>
      <c r="K317" s="5" t="n">
        <v>10</v>
      </c>
      <c r="L317" s="5">
        <f>(K317)*F317</f>
        <v/>
      </c>
      <c r="M317" s="4">
        <f>J317-L317</f>
        <v/>
      </c>
      <c r="N317" s="3" t="n"/>
      <c r="O317" s="4">
        <f>M317-N317</f>
        <v/>
      </c>
      <c r="P317" s="6">
        <f>O317*1.18</f>
        <v/>
      </c>
    </row>
    <row r="318">
      <c r="A318" s="2" t="n">
        <v>474300204</v>
      </c>
      <c r="B318" s="2" t="inlineStr">
        <is>
          <t>SERVO FUTURA 5W-30-4 X 3 L PROMO</t>
        </is>
      </c>
      <c r="C318" s="3" t="inlineStr">
        <is>
          <t>CAR</t>
        </is>
      </c>
      <c r="D318" s="3" t="inlineStr">
        <is>
          <t>PCMO</t>
        </is>
      </c>
      <c r="E318" s="3" t="n">
        <v>12</v>
      </c>
      <c r="F318" s="3" t="n">
        <v>3</v>
      </c>
      <c r="G318" s="3">
        <f>E318/F318</f>
        <v/>
      </c>
      <c r="H318" s="3" t="n">
        <v>1923</v>
      </c>
      <c r="I318" s="4" t="n">
        <v>1187.4525</v>
      </c>
      <c r="J318" s="4">
        <f>I318/1.18</f>
        <v/>
      </c>
      <c r="K318" s="5" t="n">
        <v>10</v>
      </c>
      <c r="L318" s="5">
        <f>(K318)*F318</f>
        <v/>
      </c>
      <c r="M318" s="4">
        <f>J318-L318</f>
        <v/>
      </c>
      <c r="N318" s="3" t="n"/>
      <c r="O318" s="4">
        <f>M318-N318</f>
        <v/>
      </c>
      <c r="P318" s="6">
        <f>O318*1.18</f>
        <v/>
      </c>
    </row>
    <row r="319">
      <c r="A319" s="2" t="n">
        <v>474300213</v>
      </c>
      <c r="B319" s="2" t="inlineStr">
        <is>
          <t>SERVO FUTURA 5W-30-4 X 3.5 L</t>
        </is>
      </c>
      <c r="C319" s="3" t="inlineStr">
        <is>
          <t>CAR</t>
        </is>
      </c>
      <c r="D319" s="3" t="inlineStr">
        <is>
          <t>PCMO</t>
        </is>
      </c>
      <c r="E319" s="3" t="n">
        <v>14</v>
      </c>
      <c r="F319" s="3" t="n">
        <v>3.5</v>
      </c>
      <c r="G319" s="3">
        <f>E319/F319</f>
        <v/>
      </c>
      <c r="H319" s="3" t="n">
        <v>2238</v>
      </c>
      <c r="I319" s="4" t="n">
        <v>1381.5174</v>
      </c>
      <c r="J319" s="4">
        <f>I319/1.18</f>
        <v/>
      </c>
      <c r="K319" s="5" t="n">
        <v>0</v>
      </c>
      <c r="L319" s="5">
        <f>(K319)*F319</f>
        <v/>
      </c>
      <c r="M319" s="4">
        <f>J319-L319</f>
        <v/>
      </c>
      <c r="N319" s="3" t="n"/>
      <c r="O319" s="4">
        <f>M319-N319</f>
        <v/>
      </c>
      <c r="P319" s="6">
        <f>O319*1.18</f>
        <v/>
      </c>
    </row>
    <row r="320">
      <c r="A320" s="2" t="n">
        <v>474300234</v>
      </c>
      <c r="B320" s="2" t="inlineStr">
        <is>
          <t>SERVO FUTURA 5W-30-4 X 5 L</t>
        </is>
      </c>
      <c r="C320" s="3" t="inlineStr">
        <is>
          <t>CAR</t>
        </is>
      </c>
      <c r="D320" s="3" t="inlineStr">
        <is>
          <t>PCMO</t>
        </is>
      </c>
      <c r="E320" s="3" t="n">
        <v>20</v>
      </c>
      <c r="F320" s="3" t="n">
        <v>5</v>
      </c>
      <c r="G320" s="3">
        <f>E320/F320</f>
        <v/>
      </c>
      <c r="H320" s="3" t="n">
        <v>3199</v>
      </c>
      <c r="I320" s="4" t="n">
        <v>1975.0626</v>
      </c>
      <c r="J320" s="4">
        <f>I320/1.18</f>
        <v/>
      </c>
      <c r="K320" s="5" t="n">
        <v>0</v>
      </c>
      <c r="L320" s="5">
        <f>(K320)*F320</f>
        <v/>
      </c>
      <c r="M320" s="4">
        <f>J320-L320</f>
        <v/>
      </c>
      <c r="N320" s="3" t="n"/>
      <c r="O320" s="4">
        <f>M320-N320</f>
        <v/>
      </c>
      <c r="P320" s="6">
        <f>O320*1.18</f>
        <v/>
      </c>
    </row>
    <row r="321">
      <c r="A321" s="2" t="n">
        <v>474300240</v>
      </c>
      <c r="B321" s="2" t="inlineStr">
        <is>
          <t>SERVO FUTURA 5W-30-4 X 5 L PROMO</t>
        </is>
      </c>
      <c r="C321" s="3" t="inlineStr">
        <is>
          <t>CAR</t>
        </is>
      </c>
      <c r="D321" s="3" t="inlineStr">
        <is>
          <t>PCMO</t>
        </is>
      </c>
      <c r="E321" s="3" t="n">
        <v>20</v>
      </c>
      <c r="F321" s="3" t="n">
        <v>5</v>
      </c>
      <c r="G321" s="3">
        <f>E321/F321</f>
        <v/>
      </c>
      <c r="H321" s="3" t="n">
        <v>3199</v>
      </c>
      <c r="I321" s="4" t="n">
        <v>1975.0626</v>
      </c>
      <c r="J321" s="4">
        <f>I321/1.18</f>
        <v/>
      </c>
      <c r="K321" s="5" t="n">
        <v>10</v>
      </c>
      <c r="L321" s="5">
        <f>(K321)*F321</f>
        <v/>
      </c>
      <c r="M321" s="4">
        <f>J321-L321</f>
        <v/>
      </c>
      <c r="N321" s="3" t="n"/>
      <c r="O321" s="4">
        <f>M321-N321</f>
        <v/>
      </c>
      <c r="P321" s="6">
        <f>O321*1.18</f>
        <v/>
      </c>
    </row>
    <row r="322">
      <c r="A322" s="2" t="n">
        <v>475540117</v>
      </c>
      <c r="B322" s="2" t="inlineStr">
        <is>
          <t>SERVO KISANPRO 15W-40-8.5 L PROMO</t>
        </is>
      </c>
      <c r="C322" s="3" t="inlineStr">
        <is>
          <t>BUC</t>
        </is>
      </c>
      <c r="D322" s="3" t="inlineStr">
        <is>
          <t>AGRI</t>
        </is>
      </c>
      <c r="E322" s="3" t="n">
        <v>8.5</v>
      </c>
      <c r="F322" s="3" t="n">
        <v>8.5</v>
      </c>
      <c r="G322" s="3">
        <f>E322/F322</f>
        <v/>
      </c>
      <c r="H322" s="3" t="n">
        <v>3782.5</v>
      </c>
      <c r="I322" s="4" t="n">
        <v>2528.9795</v>
      </c>
      <c r="J322" s="4">
        <f>I322/1.18</f>
        <v/>
      </c>
      <c r="K322" s="5" t="n">
        <v>25</v>
      </c>
      <c r="L322" s="5">
        <f>(K322)*F322</f>
        <v/>
      </c>
      <c r="M322" s="4">
        <f>J322-L322</f>
        <v/>
      </c>
      <c r="N322" s="3" t="n"/>
      <c r="O322" s="4">
        <f>M322-N322</f>
        <v/>
      </c>
      <c r="P322" s="6">
        <f>O322*1.18</f>
        <v/>
      </c>
    </row>
    <row r="323">
      <c r="A323" s="2" t="n">
        <v>475540184</v>
      </c>
      <c r="B323" s="2" t="inlineStr">
        <is>
          <t>SERVO KISANPRO 15W-40-20 X 1 L</t>
        </is>
      </c>
      <c r="C323" s="3" t="inlineStr">
        <is>
          <t>CAR</t>
        </is>
      </c>
      <c r="D323" s="3" t="inlineStr">
        <is>
          <t>AGRI</t>
        </is>
      </c>
      <c r="E323" s="3" t="n">
        <v>20</v>
      </c>
      <c r="F323" s="3" t="n">
        <v>1</v>
      </c>
      <c r="G323" s="3">
        <f>E323/F323</f>
        <v/>
      </c>
      <c r="H323" s="3" t="n">
        <v>445</v>
      </c>
      <c r="I323" s="4" t="n">
        <v>301.888</v>
      </c>
      <c r="J323" s="4">
        <f>I323/1.18</f>
        <v/>
      </c>
      <c r="K323" s="5" t="n">
        <v>25</v>
      </c>
      <c r="L323" s="5">
        <f>(K323)*F323</f>
        <v/>
      </c>
      <c r="M323" s="4">
        <f>J323-L323</f>
        <v/>
      </c>
      <c r="N323" s="3" t="n"/>
      <c r="O323" s="4">
        <f>M323-N323</f>
        <v/>
      </c>
      <c r="P323" s="6">
        <f>O323*1.18</f>
        <v/>
      </c>
    </row>
    <row r="324">
      <c r="A324" s="2" t="n">
        <v>475540244</v>
      </c>
      <c r="B324" s="2" t="inlineStr">
        <is>
          <t>SERVO KISANPRO 15W-40-4 X 6 L</t>
        </is>
      </c>
      <c r="C324" s="3" t="inlineStr">
        <is>
          <t>CAR</t>
        </is>
      </c>
      <c r="D324" s="3" t="inlineStr">
        <is>
          <t>AGRI</t>
        </is>
      </c>
      <c r="E324" s="3" t="n">
        <v>24</v>
      </c>
      <c r="F324" s="3" t="n">
        <v>6</v>
      </c>
      <c r="G324" s="3">
        <f>E324/F324</f>
        <v/>
      </c>
      <c r="H324" s="3" t="n">
        <v>2670</v>
      </c>
      <c r="I324" s="4" t="n">
        <v>1787.031</v>
      </c>
      <c r="J324" s="4">
        <f>I324/1.18</f>
        <v/>
      </c>
      <c r="K324" s="5" t="n">
        <v>0</v>
      </c>
      <c r="L324" s="5">
        <f>(K324)*F324</f>
        <v/>
      </c>
      <c r="M324" s="4">
        <f>J324-L324</f>
        <v/>
      </c>
      <c r="N324" s="3" t="n"/>
      <c r="O324" s="4">
        <f>M324-N324</f>
        <v/>
      </c>
      <c r="P324" s="6">
        <f>O324*1.18</f>
        <v/>
      </c>
    </row>
    <row r="325">
      <c r="A325" s="2" t="n">
        <v>475540250</v>
      </c>
      <c r="B325" s="2" t="inlineStr">
        <is>
          <t>SERVO KISANPRO 15W-40-7.5 L PROMO</t>
        </is>
      </c>
      <c r="C325" s="3" t="inlineStr">
        <is>
          <t>BUC</t>
        </is>
      </c>
      <c r="D325" s="3" t="inlineStr">
        <is>
          <t>AGRI</t>
        </is>
      </c>
      <c r="E325" s="3" t="n">
        <v>7.5</v>
      </c>
      <c r="F325" s="3" t="n">
        <v>7.5</v>
      </c>
      <c r="G325" s="3">
        <f>E325/F325</f>
        <v/>
      </c>
      <c r="H325" s="3" t="n">
        <v>3337.5</v>
      </c>
      <c r="I325" s="4" t="n">
        <v>2234.79</v>
      </c>
      <c r="J325" s="4">
        <f>I325/1.18</f>
        <v/>
      </c>
      <c r="K325" s="5" t="n">
        <v>25</v>
      </c>
      <c r="L325" s="5">
        <f>(K325)*F325</f>
        <v/>
      </c>
      <c r="M325" s="4">
        <f>J325-L325</f>
        <v/>
      </c>
      <c r="N325" s="3" t="n"/>
      <c r="O325" s="4">
        <f>M325-N325</f>
        <v/>
      </c>
      <c r="P325" s="6">
        <f>O325*1.18</f>
        <v/>
      </c>
    </row>
    <row r="326">
      <c r="A326" s="2" t="n">
        <v>475540251</v>
      </c>
      <c r="B326" s="2" t="inlineStr">
        <is>
          <t>SERVO KISANPRO 15W-40-7.5 L</t>
        </is>
      </c>
      <c r="C326" s="3" t="inlineStr">
        <is>
          <t>BUC</t>
        </is>
      </c>
      <c r="D326" s="3" t="inlineStr">
        <is>
          <t>AGRI</t>
        </is>
      </c>
      <c r="E326" s="3" t="n">
        <v>7.5</v>
      </c>
      <c r="F326" s="3" t="n">
        <v>7.5</v>
      </c>
      <c r="G326" s="3">
        <f>E326/F326</f>
        <v/>
      </c>
      <c r="H326" s="3" t="n">
        <v>3337.5</v>
      </c>
      <c r="I326" s="4" t="n">
        <v>2234.79</v>
      </c>
      <c r="J326" s="4">
        <f>I326/1.18</f>
        <v/>
      </c>
      <c r="K326" s="5" t="n">
        <v>0</v>
      </c>
      <c r="L326" s="5">
        <f>(K326)*F326</f>
        <v/>
      </c>
      <c r="M326" s="4">
        <f>J326-L326</f>
        <v/>
      </c>
      <c r="N326" s="3" t="n"/>
      <c r="O326" s="4">
        <f>M326-N326</f>
        <v/>
      </c>
      <c r="P326" s="6">
        <f>O326*1.18</f>
        <v/>
      </c>
    </row>
    <row r="327">
      <c r="A327" s="2" t="n">
        <v>475540252</v>
      </c>
      <c r="B327" s="2" t="inlineStr">
        <is>
          <t>SERVO KISANPRO 15W-40-8.5 L</t>
        </is>
      </c>
      <c r="C327" s="3" t="inlineStr">
        <is>
          <t>BUC</t>
        </is>
      </c>
      <c r="D327" s="3" t="inlineStr">
        <is>
          <t>AGRI</t>
        </is>
      </c>
      <c r="E327" s="3" t="n">
        <v>8.5</v>
      </c>
      <c r="F327" s="3" t="n">
        <v>8.5</v>
      </c>
      <c r="G327" s="3">
        <f>E327/F327</f>
        <v/>
      </c>
      <c r="H327" s="3" t="n">
        <v>3782.5</v>
      </c>
      <c r="I327" s="4" t="n">
        <v>2528.9795</v>
      </c>
      <c r="J327" s="4">
        <f>I327/1.18</f>
        <v/>
      </c>
      <c r="K327" s="5" t="n">
        <v>0</v>
      </c>
      <c r="L327" s="5">
        <f>(K327)*F327</f>
        <v/>
      </c>
      <c r="M327" s="4">
        <f>J327-L327</f>
        <v/>
      </c>
      <c r="N327" s="3" t="n"/>
      <c r="O327" s="4">
        <f>M327-N327</f>
        <v/>
      </c>
      <c r="P327" s="6">
        <f>O327*1.18</f>
        <v/>
      </c>
    </row>
    <row r="328">
      <c r="A328" s="2" t="n">
        <v>475630184</v>
      </c>
      <c r="B328" s="2" t="inlineStr">
        <is>
          <t>SERVO KISANPRO 20W-40-20 X 1 L</t>
        </is>
      </c>
      <c r="C328" s="3" t="inlineStr">
        <is>
          <t>CAR</t>
        </is>
      </c>
      <c r="D328" s="3" t="inlineStr">
        <is>
          <t>AGRI</t>
        </is>
      </c>
      <c r="E328" s="3" t="n">
        <v>20</v>
      </c>
      <c r="F328" s="3" t="n">
        <v>1</v>
      </c>
      <c r="G328" s="3">
        <f>E328/F328</f>
        <v/>
      </c>
      <c r="H328" s="3" t="n">
        <v>449</v>
      </c>
      <c r="I328" s="4" t="n">
        <v>299.932</v>
      </c>
      <c r="J328" s="4">
        <f>I328/1.18</f>
        <v/>
      </c>
      <c r="K328" s="5" t="n">
        <v>25</v>
      </c>
      <c r="L328" s="5">
        <f>(K328)*F328</f>
        <v/>
      </c>
      <c r="M328" s="4">
        <f>J328-L328</f>
        <v/>
      </c>
      <c r="N328" s="3" t="n"/>
      <c r="O328" s="4">
        <f>M328-N328</f>
        <v/>
      </c>
      <c r="P328" s="6">
        <f>O328*1.18</f>
        <v/>
      </c>
    </row>
    <row r="329">
      <c r="A329" s="2" t="n">
        <v>475630244</v>
      </c>
      <c r="B329" s="2" t="inlineStr">
        <is>
          <t>SERVO KISANPRO 20W-40-4 X 6 L</t>
        </is>
      </c>
      <c r="C329" s="3" t="inlineStr">
        <is>
          <t>CAR</t>
        </is>
      </c>
      <c r="D329" s="3" t="inlineStr">
        <is>
          <t>AGRI</t>
        </is>
      </c>
      <c r="E329" s="3" t="n">
        <v>24</v>
      </c>
      <c r="F329" s="3" t="n">
        <v>6</v>
      </c>
      <c r="G329" s="3">
        <f>E329/F329</f>
        <v/>
      </c>
      <c r="H329" s="3" t="n">
        <v>2668</v>
      </c>
      <c r="I329" s="4" t="n">
        <v>1782.4908</v>
      </c>
      <c r="J329" s="4">
        <f>I329/1.18</f>
        <v/>
      </c>
      <c r="K329" s="5" t="n">
        <v>0</v>
      </c>
      <c r="L329" s="5">
        <f>(K329)*F329</f>
        <v/>
      </c>
      <c r="M329" s="4">
        <f>J329-L329</f>
        <v/>
      </c>
      <c r="N329" s="3" t="n"/>
      <c r="O329" s="4">
        <f>M329-N329</f>
        <v/>
      </c>
      <c r="P329" s="6">
        <f>O329*1.18</f>
        <v/>
      </c>
    </row>
    <row r="330">
      <c r="A330" s="2" t="n">
        <v>475630250</v>
      </c>
      <c r="B330" s="2" t="inlineStr">
        <is>
          <t>SERVO KISANPRO 20W-40-7.5 L PROMO</t>
        </is>
      </c>
      <c r="C330" s="3" t="inlineStr">
        <is>
          <t>BUC</t>
        </is>
      </c>
      <c r="D330" s="3" t="inlineStr">
        <is>
          <t>AGRI</t>
        </is>
      </c>
      <c r="E330" s="3" t="n">
        <v>7.5</v>
      </c>
      <c r="F330" s="3" t="n">
        <v>7.5</v>
      </c>
      <c r="G330" s="3">
        <f>E330/F330</f>
        <v/>
      </c>
      <c r="H330" s="3" t="n">
        <v>3350</v>
      </c>
      <c r="I330" s="4" t="n">
        <v>2211</v>
      </c>
      <c r="J330" s="4">
        <f>I330/1.18</f>
        <v/>
      </c>
      <c r="K330" s="5" t="n">
        <v>25</v>
      </c>
      <c r="L330" s="5">
        <f>(K330)*F330</f>
        <v/>
      </c>
      <c r="M330" s="4">
        <f>J330-L330</f>
        <v/>
      </c>
      <c r="N330" s="3" t="n"/>
      <c r="O330" s="4">
        <f>M330-N330</f>
        <v/>
      </c>
      <c r="P330" s="6">
        <f>O330*1.18</f>
        <v/>
      </c>
    </row>
    <row r="331">
      <c r="A331" s="2" t="n">
        <v>475630251</v>
      </c>
      <c r="B331" s="2" t="inlineStr">
        <is>
          <t>SERVO KISANPRO 20W-40-7.5 L</t>
        </is>
      </c>
      <c r="C331" s="3" t="inlineStr">
        <is>
          <t>BUC</t>
        </is>
      </c>
      <c r="D331" s="3" t="inlineStr">
        <is>
          <t>AGRI</t>
        </is>
      </c>
      <c r="E331" s="3" t="n">
        <v>7.5</v>
      </c>
      <c r="F331" s="3" t="n">
        <v>7.5</v>
      </c>
      <c r="G331" s="3">
        <f>E331/F331</f>
        <v/>
      </c>
      <c r="H331" s="3" t="n">
        <v>3350</v>
      </c>
      <c r="I331" s="4" t="n">
        <v>2211</v>
      </c>
      <c r="J331" s="4">
        <f>I331/1.18</f>
        <v/>
      </c>
      <c r="K331" s="5" t="n">
        <v>0</v>
      </c>
      <c r="L331" s="5">
        <f>(K331)*F331</f>
        <v/>
      </c>
      <c r="M331" s="4">
        <f>J331-L331</f>
        <v/>
      </c>
      <c r="N331" s="3" t="n"/>
      <c r="O331" s="4">
        <f>M331-N331</f>
        <v/>
      </c>
      <c r="P331" s="6">
        <f>O331*1.18</f>
        <v/>
      </c>
    </row>
    <row r="332">
      <c r="A332" s="2" t="n">
        <v>475700184</v>
      </c>
      <c r="B332" s="2" t="inlineStr">
        <is>
          <t>SERVO PRIDE XL PLUS 10W-30-20 X 1 L</t>
        </is>
      </c>
      <c r="C332" s="3" t="inlineStr">
        <is>
          <t>CAR</t>
        </is>
      </c>
      <c r="D332" s="3" t="inlineStr">
        <is>
          <t>CVO</t>
        </is>
      </c>
      <c r="E332" s="3" t="n">
        <v>20</v>
      </c>
      <c r="F332" s="3" t="n">
        <v>1</v>
      </c>
      <c r="G332" s="3">
        <f>E332/F332</f>
        <v/>
      </c>
      <c r="H332" s="3" t="n">
        <v>475</v>
      </c>
      <c r="I332" s="4" t="n">
        <v>328.3675</v>
      </c>
      <c r="J332" s="4">
        <f>I332/1.18</f>
        <v/>
      </c>
      <c r="K332" s="5" t="n">
        <v>0</v>
      </c>
      <c r="L332" s="5">
        <f>(K332)*F332</f>
        <v/>
      </c>
      <c r="M332" s="4">
        <f>J332-L332</f>
        <v/>
      </c>
      <c r="N332" s="3" t="n"/>
      <c r="O332" s="4">
        <f>M332-N332</f>
        <v/>
      </c>
      <c r="P332" s="6">
        <f>O332*1.18</f>
        <v/>
      </c>
    </row>
    <row r="333">
      <c r="A333" s="2" t="n">
        <v>475700229</v>
      </c>
      <c r="B333" s="2" t="inlineStr">
        <is>
          <t>SERVO PRIDE XL PLUS 10W-30-20 X 1L PROMO</t>
        </is>
      </c>
      <c r="C333" s="3" t="inlineStr">
        <is>
          <t>CAR</t>
        </is>
      </c>
      <c r="D333" s="3" t="inlineStr">
        <is>
          <t>CVO</t>
        </is>
      </c>
      <c r="E333" s="3" t="n">
        <v>20</v>
      </c>
      <c r="F333" s="3" t="n">
        <v>1</v>
      </c>
      <c r="G333" s="3">
        <f>E333/F333</f>
        <v/>
      </c>
      <c r="H333" s="3" t="n">
        <v>475</v>
      </c>
      <c r="I333" s="4" t="n">
        <v>328.3675</v>
      </c>
      <c r="J333" s="4">
        <f>I333/1.18</f>
        <v/>
      </c>
      <c r="K333" s="5" t="n">
        <v>0</v>
      </c>
      <c r="L333" s="5">
        <f>(K333)*F333</f>
        <v/>
      </c>
      <c r="M333" s="4">
        <f>J333-L333</f>
        <v/>
      </c>
      <c r="N333" s="3" t="n"/>
      <c r="O333" s="4">
        <f>M333-N333</f>
        <v/>
      </c>
      <c r="P333" s="6">
        <f>O333*1.18</f>
        <v/>
      </c>
    </row>
    <row r="334">
      <c r="A334" s="2" t="n">
        <v>475700234</v>
      </c>
      <c r="B334" s="2" t="inlineStr">
        <is>
          <t>SERVO PRIDE XL PLUS 10W-30-4 X 5 L</t>
        </is>
      </c>
      <c r="C334" s="3" t="inlineStr">
        <is>
          <t>CAR</t>
        </is>
      </c>
      <c r="D334" s="3" t="inlineStr">
        <is>
          <t>CVO</t>
        </is>
      </c>
      <c r="E334" s="3" t="n">
        <v>20</v>
      </c>
      <c r="F334" s="3" t="n">
        <v>5</v>
      </c>
      <c r="G334" s="3">
        <f>E334/F334</f>
        <v/>
      </c>
      <c r="H334" s="3" t="n">
        <v>2350</v>
      </c>
      <c r="I334" s="4" t="n">
        <v>1637.245</v>
      </c>
      <c r="J334" s="4">
        <f>I334/1.18</f>
        <v/>
      </c>
      <c r="K334" s="5" t="n">
        <v>0</v>
      </c>
      <c r="L334" s="5">
        <f>(K334)*F334</f>
        <v/>
      </c>
      <c r="M334" s="4">
        <f>J334-L334</f>
        <v/>
      </c>
      <c r="N334" s="3" t="n"/>
      <c r="O334" s="4">
        <f>M334-N334</f>
        <v/>
      </c>
      <c r="P334" s="6">
        <f>O334*1.18</f>
        <v/>
      </c>
    </row>
    <row r="335">
      <c r="A335" s="2" t="n">
        <v>475700240</v>
      </c>
      <c r="B335" s="2" t="inlineStr">
        <is>
          <t>SERVO PRIDE XL PLUS 10W-30-4 X 5 L PROMO</t>
        </is>
      </c>
      <c r="C335" s="3" t="inlineStr">
        <is>
          <t>CAR</t>
        </is>
      </c>
      <c r="D335" s="3" t="inlineStr">
        <is>
          <t>CVO</t>
        </is>
      </c>
      <c r="E335" s="3" t="n">
        <v>20</v>
      </c>
      <c r="F335" s="3" t="n">
        <v>5</v>
      </c>
      <c r="G335" s="3">
        <f>E335/F335</f>
        <v/>
      </c>
      <c r="H335" s="3" t="n">
        <v>2350</v>
      </c>
      <c r="I335" s="4" t="n">
        <v>1637.245</v>
      </c>
      <c r="J335" s="4">
        <f>I335/1.18</f>
        <v/>
      </c>
      <c r="K335" s="5" t="n">
        <v>0</v>
      </c>
      <c r="L335" s="5">
        <f>(K335)*F335</f>
        <v/>
      </c>
      <c r="M335" s="4">
        <f>J335-L335</f>
        <v/>
      </c>
      <c r="N335" s="3" t="n"/>
      <c r="O335" s="4">
        <f>M335-N335</f>
        <v/>
      </c>
      <c r="P335" s="6">
        <f>O335*1.18</f>
        <v/>
      </c>
    </row>
    <row r="336">
      <c r="A336" s="2" t="n">
        <v>475700250</v>
      </c>
      <c r="B336" s="2" t="inlineStr">
        <is>
          <t>SERVO PRIDE XL PLUS 10W-30-7.5 L PROMO</t>
        </is>
      </c>
      <c r="C336" s="3" t="inlineStr">
        <is>
          <t>BUC</t>
        </is>
      </c>
      <c r="D336" s="3" t="inlineStr">
        <is>
          <t>CVO</t>
        </is>
      </c>
      <c r="E336" s="3" t="n">
        <v>7.5</v>
      </c>
      <c r="F336" s="3" t="n">
        <v>7.5</v>
      </c>
      <c r="G336" s="3">
        <f>E336/F336</f>
        <v/>
      </c>
      <c r="H336" s="3" t="n">
        <v>3525</v>
      </c>
      <c r="I336" s="4" t="n">
        <v>2459.3925</v>
      </c>
      <c r="J336" s="4">
        <f>I336/1.18</f>
        <v/>
      </c>
      <c r="K336" s="5" t="n">
        <v>0</v>
      </c>
      <c r="L336" s="5">
        <f>(K336)*F336</f>
        <v/>
      </c>
      <c r="M336" s="4">
        <f>J336-L336</f>
        <v/>
      </c>
      <c r="N336" s="3" t="n"/>
      <c r="O336" s="4">
        <f>M336-N336</f>
        <v/>
      </c>
      <c r="P336" s="6">
        <f>O336*1.18</f>
        <v/>
      </c>
    </row>
    <row r="337">
      <c r="A337" s="2" t="n">
        <v>475700251</v>
      </c>
      <c r="B337" s="2" t="inlineStr">
        <is>
          <t>SERVO PRIDE XL PLUS 10W-30-7.5 L</t>
        </is>
      </c>
      <c r="C337" s="3" t="inlineStr">
        <is>
          <t>BUC</t>
        </is>
      </c>
      <c r="D337" s="3" t="inlineStr">
        <is>
          <t>CVO</t>
        </is>
      </c>
      <c r="E337" s="3" t="n">
        <v>7.5</v>
      </c>
      <c r="F337" s="3" t="n">
        <v>7.5</v>
      </c>
      <c r="G337" s="3">
        <f>E337/F337</f>
        <v/>
      </c>
      <c r="H337" s="3" t="n">
        <v>3525</v>
      </c>
      <c r="I337" s="4" t="n">
        <v>2459.3925</v>
      </c>
      <c r="J337" s="4">
        <f>I337/1.18</f>
        <v/>
      </c>
      <c r="K337" s="5" t="n">
        <v>0</v>
      </c>
      <c r="L337" s="5">
        <f>(K337)*F337</f>
        <v/>
      </c>
      <c r="M337" s="4">
        <f>J337-L337</f>
        <v/>
      </c>
      <c r="N337" s="3" t="n"/>
      <c r="O337" s="4">
        <f>M337-N337</f>
        <v/>
      </c>
      <c r="P337" s="6">
        <f>O337*1.18</f>
        <v/>
      </c>
    </row>
    <row r="338">
      <c r="A338" s="2" t="n">
        <v>475700253</v>
      </c>
      <c r="B338" s="2" t="inlineStr">
        <is>
          <t>SERVO PRIDE XL PLUS 10W-30-15 L PROMO</t>
        </is>
      </c>
      <c r="C338" s="3" t="inlineStr">
        <is>
          <t>BUC</t>
        </is>
      </c>
      <c r="D338" s="3" t="inlineStr">
        <is>
          <t>CVO</t>
        </is>
      </c>
      <c r="E338" s="3" t="n">
        <v>15</v>
      </c>
      <c r="F338" s="3" t="n">
        <v>15</v>
      </c>
      <c r="G338" s="3">
        <f>E338/F338</f>
        <v/>
      </c>
      <c r="H338" s="3" t="n">
        <v>7050</v>
      </c>
      <c r="I338" s="4" t="n">
        <v>4915.26</v>
      </c>
      <c r="J338" s="4">
        <f>I338/1.18</f>
        <v/>
      </c>
      <c r="K338" s="5" t="n">
        <v>0</v>
      </c>
      <c r="L338" s="5">
        <f>(K338)*F338</f>
        <v/>
      </c>
      <c r="M338" s="4">
        <f>J338-L338</f>
        <v/>
      </c>
      <c r="N338" s="3" t="n"/>
      <c r="O338" s="4">
        <f>M338-N338</f>
        <v/>
      </c>
      <c r="P338" s="6">
        <f>O338*1.18</f>
        <v/>
      </c>
    </row>
    <row r="339">
      <c r="A339" s="2" t="n">
        <v>475700256</v>
      </c>
      <c r="B339" s="2" t="inlineStr">
        <is>
          <t>SERVO PRIDE XL PLUS 10W-30-15 L</t>
        </is>
      </c>
      <c r="C339" s="3" t="inlineStr">
        <is>
          <t>BUC</t>
        </is>
      </c>
      <c r="D339" s="3" t="inlineStr">
        <is>
          <t>CVO</t>
        </is>
      </c>
      <c r="E339" s="3" t="n">
        <v>15</v>
      </c>
      <c r="F339" s="3" t="n">
        <v>15</v>
      </c>
      <c r="G339" s="3">
        <f>E339/F339</f>
        <v/>
      </c>
      <c r="H339" s="3" t="n">
        <v>7050</v>
      </c>
      <c r="I339" s="4" t="n">
        <v>4915.26</v>
      </c>
      <c r="J339" s="4">
        <f>I339/1.18</f>
        <v/>
      </c>
      <c r="K339" s="5" t="n">
        <v>0</v>
      </c>
      <c r="L339" s="5">
        <f>(K339)*F339</f>
        <v/>
      </c>
      <c r="M339" s="4">
        <f>J339-L339</f>
        <v/>
      </c>
      <c r="N339" s="3" t="n"/>
      <c r="O339" s="4">
        <f>M339-N339</f>
        <v/>
      </c>
      <c r="P339" s="6">
        <f>O339*1.18</f>
        <v/>
      </c>
    </row>
    <row r="340">
      <c r="A340" s="2" t="n">
        <v>475700265</v>
      </c>
      <c r="B340" s="2" t="inlineStr">
        <is>
          <t>SERVO PRIDE XL PLUS 10W-30-20 L</t>
        </is>
      </c>
      <c r="C340" s="3" t="inlineStr">
        <is>
          <t>BUC</t>
        </is>
      </c>
      <c r="D340" s="3" t="inlineStr">
        <is>
          <t>CVO</t>
        </is>
      </c>
      <c r="E340" s="3" t="n">
        <v>20</v>
      </c>
      <c r="F340" s="3" t="n">
        <v>20</v>
      </c>
      <c r="G340" s="3">
        <f>E340/F340</f>
        <v/>
      </c>
      <c r="H340" s="3" t="n">
        <v>9400</v>
      </c>
      <c r="I340" s="4" t="n">
        <v>6547.1</v>
      </c>
      <c r="J340" s="4">
        <f>I340/1.18</f>
        <v/>
      </c>
      <c r="K340" s="5" t="n">
        <v>0</v>
      </c>
      <c r="L340" s="5">
        <f>(K340)*F340</f>
        <v/>
      </c>
      <c r="M340" s="4">
        <f>J340-L340</f>
        <v/>
      </c>
      <c r="N340" s="3" t="n"/>
      <c r="O340" s="4">
        <f>M340-N340</f>
        <v/>
      </c>
      <c r="P340" s="6">
        <f>O340*1.18</f>
        <v/>
      </c>
    </row>
    <row r="341">
      <c r="A341" s="2" t="n">
        <v>475700269</v>
      </c>
      <c r="B341" s="2" t="inlineStr">
        <is>
          <t>SERVO PRIDE XL PLUS 10W-30-20 L PROMO</t>
        </is>
      </c>
      <c r="C341" s="3" t="inlineStr">
        <is>
          <t>BUC</t>
        </is>
      </c>
      <c r="D341" s="3" t="inlineStr">
        <is>
          <t>CVO</t>
        </is>
      </c>
      <c r="E341" s="3" t="n">
        <v>20</v>
      </c>
      <c r="F341" s="3" t="n">
        <v>20</v>
      </c>
      <c r="G341" s="3">
        <f>E341/F341</f>
        <v/>
      </c>
      <c r="H341" s="3" t="n">
        <v>9400</v>
      </c>
      <c r="I341" s="4" t="n">
        <v>6547.1</v>
      </c>
      <c r="J341" s="4">
        <f>I341/1.18</f>
        <v/>
      </c>
      <c r="K341" s="5" t="n">
        <v>0</v>
      </c>
      <c r="L341" s="5">
        <f>(K341)*F341</f>
        <v/>
      </c>
      <c r="M341" s="4">
        <f>J341-L341</f>
        <v/>
      </c>
      <c r="N341" s="3" t="n"/>
      <c r="O341" s="4">
        <f>M341-N341</f>
        <v/>
      </c>
      <c r="P341" s="6">
        <f>O341*1.18</f>
        <v/>
      </c>
    </row>
    <row r="342">
      <c r="A342" s="2" t="n">
        <v>475770184</v>
      </c>
      <c r="B342" s="2" t="inlineStr">
        <is>
          <t>SERVO PRIDE 15W-40-20 X 1 L</t>
        </is>
      </c>
      <c r="C342" s="3" t="inlineStr">
        <is>
          <t>CAR</t>
        </is>
      </c>
      <c r="D342" s="3" t="inlineStr">
        <is>
          <t>CVO</t>
        </is>
      </c>
      <c r="E342" s="3" t="n">
        <v>20</v>
      </c>
      <c r="F342" s="3" t="n">
        <v>1</v>
      </c>
      <c r="G342" s="3">
        <f>E342/F342</f>
        <v/>
      </c>
      <c r="H342" s="3" t="n">
        <v>425</v>
      </c>
      <c r="I342" s="4" t="n">
        <v>304.7675</v>
      </c>
      <c r="J342" s="4">
        <f>I342/1.18</f>
        <v/>
      </c>
      <c r="K342" s="5" t="n">
        <v>10</v>
      </c>
      <c r="L342" s="5">
        <f>(K342)*F342</f>
        <v/>
      </c>
      <c r="M342" s="4">
        <f>J342-L342</f>
        <v/>
      </c>
      <c r="N342" s="3" t="n"/>
      <c r="O342" s="4">
        <f>M342-N342</f>
        <v/>
      </c>
      <c r="P342" s="6">
        <f>O342*1.18</f>
        <v/>
      </c>
    </row>
    <row r="343">
      <c r="A343" s="2" t="n">
        <v>475770203</v>
      </c>
      <c r="B343" s="2" t="inlineStr">
        <is>
          <t>SERVO PRIDE 15W-40-4 X 3 L</t>
        </is>
      </c>
      <c r="C343" s="3" t="inlineStr">
        <is>
          <t>CAR</t>
        </is>
      </c>
      <c r="D343" s="3" t="inlineStr">
        <is>
          <t>CVO</t>
        </is>
      </c>
      <c r="E343" s="3" t="n">
        <v>12</v>
      </c>
      <c r="F343" s="3" t="n">
        <v>3</v>
      </c>
      <c r="G343" s="3">
        <f>E343/F343</f>
        <v/>
      </c>
      <c r="H343" s="3" t="n">
        <v>1260</v>
      </c>
      <c r="I343" s="4" t="n">
        <v>913.878</v>
      </c>
      <c r="J343" s="4">
        <f>I343/1.18</f>
        <v/>
      </c>
      <c r="K343" s="5" t="n">
        <v>0</v>
      </c>
      <c r="L343" s="5">
        <f>(K343)*F343</f>
        <v/>
      </c>
      <c r="M343" s="4">
        <f>J343-L343</f>
        <v/>
      </c>
      <c r="N343" s="3" t="n"/>
      <c r="O343" s="4">
        <f>M343-N343</f>
        <v/>
      </c>
      <c r="P343" s="6">
        <f>O343*1.18</f>
        <v/>
      </c>
    </row>
    <row r="344">
      <c r="A344" s="2" t="n">
        <v>475770204</v>
      </c>
      <c r="B344" s="2" t="inlineStr">
        <is>
          <t>SERVO PRIDE 15W-40-4 X 3 L PROMO</t>
        </is>
      </c>
      <c r="C344" s="3" t="inlineStr">
        <is>
          <t>CAR</t>
        </is>
      </c>
      <c r="D344" s="3" t="inlineStr">
        <is>
          <t>CVO</t>
        </is>
      </c>
      <c r="E344" s="3" t="n">
        <v>12</v>
      </c>
      <c r="F344" s="3" t="n">
        <v>3</v>
      </c>
      <c r="G344" s="3">
        <f>E344/F344</f>
        <v/>
      </c>
      <c r="H344" s="3" t="n">
        <v>1260</v>
      </c>
      <c r="I344" s="4" t="n">
        <v>913.878</v>
      </c>
      <c r="J344" s="4">
        <f>I344/1.18</f>
        <v/>
      </c>
      <c r="K344" s="5" t="n">
        <v>15</v>
      </c>
      <c r="L344" s="5">
        <f>(K344)*F344</f>
        <v/>
      </c>
      <c r="M344" s="4">
        <f>J344-L344</f>
        <v/>
      </c>
      <c r="N344" s="3" t="n"/>
      <c r="O344" s="4">
        <f>M344-N344</f>
        <v/>
      </c>
      <c r="P344" s="6">
        <f>O344*1.18</f>
        <v/>
      </c>
    </row>
    <row r="345">
      <c r="A345" s="2" t="n">
        <v>475770229</v>
      </c>
      <c r="B345" s="2" t="inlineStr">
        <is>
          <t>SERVO PRIDE 15W-40-20 X 1 L PROMO</t>
        </is>
      </c>
      <c r="C345" s="3" t="inlineStr">
        <is>
          <t>CAR</t>
        </is>
      </c>
      <c r="D345" s="3" t="inlineStr">
        <is>
          <t>CVO</t>
        </is>
      </c>
      <c r="E345" s="3" t="n">
        <v>20</v>
      </c>
      <c r="F345" s="3" t="n">
        <v>1</v>
      </c>
      <c r="G345" s="3">
        <f>E345/F345</f>
        <v/>
      </c>
      <c r="H345" s="3" t="n">
        <v>425</v>
      </c>
      <c r="I345" s="4" t="n">
        <v>304.7675</v>
      </c>
      <c r="J345" s="4">
        <f>I345/1.18</f>
        <v/>
      </c>
      <c r="K345" s="5" t="n">
        <v>0</v>
      </c>
      <c r="L345" s="5">
        <f>(K345)*F345</f>
        <v/>
      </c>
      <c r="M345" s="4">
        <f>J345-L345</f>
        <v/>
      </c>
      <c r="N345" s="3" t="n"/>
      <c r="O345" s="4">
        <f>M345-N345</f>
        <v/>
      </c>
      <c r="P345" s="6">
        <f>O345*1.18</f>
        <v/>
      </c>
    </row>
    <row r="346">
      <c r="A346" s="2" t="n">
        <v>475770234</v>
      </c>
      <c r="B346" s="2" t="inlineStr">
        <is>
          <t>SERVO PRIDE 15W-40-4 X 5 L</t>
        </is>
      </c>
      <c r="C346" s="3" t="inlineStr">
        <is>
          <t>CAR</t>
        </is>
      </c>
      <c r="D346" s="3" t="inlineStr">
        <is>
          <t>CVO</t>
        </is>
      </c>
      <c r="E346" s="3" t="n">
        <v>20</v>
      </c>
      <c r="F346" s="3" t="n">
        <v>5</v>
      </c>
      <c r="G346" s="3">
        <f>E346/F346</f>
        <v/>
      </c>
      <c r="H346" s="3" t="n">
        <v>2100</v>
      </c>
      <c r="I346" s="4" t="n">
        <v>1519.56</v>
      </c>
      <c r="J346" s="4">
        <f>I346/1.18</f>
        <v/>
      </c>
      <c r="K346" s="5" t="n">
        <v>0</v>
      </c>
      <c r="L346" s="5">
        <f>(K346)*F346</f>
        <v/>
      </c>
      <c r="M346" s="4">
        <f>J346-L346</f>
        <v/>
      </c>
      <c r="N346" s="3" t="n"/>
      <c r="O346" s="4">
        <f>M346-N346</f>
        <v/>
      </c>
      <c r="P346" s="6">
        <f>O346*1.18</f>
        <v/>
      </c>
    </row>
    <row r="347">
      <c r="A347" s="2" t="n">
        <v>475770240</v>
      </c>
      <c r="B347" s="2" t="inlineStr">
        <is>
          <t>SERVO PRIDE 15W-40-4 X 5 L PROMO</t>
        </is>
      </c>
      <c r="C347" s="3" t="inlineStr">
        <is>
          <t>CAR</t>
        </is>
      </c>
      <c r="D347" s="3" t="inlineStr">
        <is>
          <t>CVO</t>
        </is>
      </c>
      <c r="E347" s="3" t="n">
        <v>20</v>
      </c>
      <c r="F347" s="3" t="n">
        <v>5</v>
      </c>
      <c r="G347" s="3">
        <f>E347/F347</f>
        <v/>
      </c>
      <c r="H347" s="3" t="n">
        <v>2100</v>
      </c>
      <c r="I347" s="4" t="n">
        <v>1519.56</v>
      </c>
      <c r="J347" s="4">
        <f>I347/1.18</f>
        <v/>
      </c>
      <c r="K347" s="5" t="n">
        <v>15</v>
      </c>
      <c r="L347" s="5">
        <f>(K347)*F347</f>
        <v/>
      </c>
      <c r="M347" s="4">
        <f>J347-L347</f>
        <v/>
      </c>
      <c r="N347" s="3" t="n"/>
      <c r="O347" s="4">
        <f>M347-N347</f>
        <v/>
      </c>
      <c r="P347" s="6">
        <f>O347*1.18</f>
        <v/>
      </c>
    </row>
    <row r="348">
      <c r="A348" s="2" t="n">
        <v>475770241</v>
      </c>
      <c r="B348" s="2" t="inlineStr">
        <is>
          <t>SERVO PRIDE 15W-40-10 L PROMO</t>
        </is>
      </c>
      <c r="C348" s="3" t="inlineStr">
        <is>
          <t>BUC</t>
        </is>
      </c>
      <c r="D348" s="3" t="inlineStr">
        <is>
          <t>CVO</t>
        </is>
      </c>
      <c r="E348" s="3" t="n">
        <v>10</v>
      </c>
      <c r="F348" s="3" t="n">
        <v>10</v>
      </c>
      <c r="G348" s="3">
        <f>E348/F348</f>
        <v/>
      </c>
      <c r="H348" s="3" t="n">
        <v>4200</v>
      </c>
      <c r="I348" s="4" t="n">
        <v>3039.12</v>
      </c>
      <c r="J348" s="4">
        <f>I348/1.18</f>
        <v/>
      </c>
      <c r="K348" s="5" t="n">
        <v>15</v>
      </c>
      <c r="L348" s="5">
        <f>(K348)*F348</f>
        <v/>
      </c>
      <c r="M348" s="4">
        <f>J348-L348</f>
        <v/>
      </c>
      <c r="N348" s="3" t="n"/>
      <c r="O348" s="4">
        <f>M348-N348</f>
        <v/>
      </c>
      <c r="P348" s="6">
        <f>O348*1.18</f>
        <v/>
      </c>
    </row>
    <row r="349">
      <c r="A349" s="2" t="n">
        <v>475770242</v>
      </c>
      <c r="B349" s="2" t="inlineStr">
        <is>
          <t>SERVO PRIDE 15W-40-10 L</t>
        </is>
      </c>
      <c r="C349" s="3" t="inlineStr">
        <is>
          <t>BUC</t>
        </is>
      </c>
      <c r="D349" s="3" t="inlineStr">
        <is>
          <t>CVO</t>
        </is>
      </c>
      <c r="E349" s="3" t="n">
        <v>10</v>
      </c>
      <c r="F349" s="3" t="n">
        <v>10</v>
      </c>
      <c r="G349" s="3">
        <f>E349/F349</f>
        <v/>
      </c>
      <c r="H349" s="3" t="n">
        <v>4200</v>
      </c>
      <c r="I349" s="4" t="n">
        <v>3039.12</v>
      </c>
      <c r="J349" s="4">
        <f>I349/1.18</f>
        <v/>
      </c>
      <c r="K349" s="5" t="n">
        <v>0</v>
      </c>
      <c r="L349" s="5">
        <f>(K349)*F349</f>
        <v/>
      </c>
      <c r="M349" s="4">
        <f>J349-L349</f>
        <v/>
      </c>
      <c r="N349" s="3" t="n"/>
      <c r="O349" s="4">
        <f>M349-N349</f>
        <v/>
      </c>
      <c r="P349" s="6">
        <f>O349*1.18</f>
        <v/>
      </c>
    </row>
    <row r="350">
      <c r="A350" s="2" t="n">
        <v>475770250</v>
      </c>
      <c r="B350" s="2" t="inlineStr">
        <is>
          <t>SERVO PRIDE 15W-40-7.5 L PROMO</t>
        </is>
      </c>
      <c r="C350" s="3" t="inlineStr">
        <is>
          <t>BUC</t>
        </is>
      </c>
      <c r="D350" s="3" t="inlineStr">
        <is>
          <t>CVO</t>
        </is>
      </c>
      <c r="E350" s="3" t="n">
        <v>7.5</v>
      </c>
      <c r="F350" s="3" t="n">
        <v>7.5</v>
      </c>
      <c r="G350" s="3">
        <f>E350/F350</f>
        <v/>
      </c>
      <c r="H350" s="3" t="n">
        <v>3150</v>
      </c>
      <c r="I350" s="4" t="n">
        <v>2283.12</v>
      </c>
      <c r="J350" s="4">
        <f>I350/1.18</f>
        <v/>
      </c>
      <c r="K350" s="5" t="n">
        <v>15</v>
      </c>
      <c r="L350" s="5">
        <f>(K350)*F350</f>
        <v/>
      </c>
      <c r="M350" s="4">
        <f>J350-L350</f>
        <v/>
      </c>
      <c r="N350" s="3" t="n"/>
      <c r="O350" s="4">
        <f>M350-N350</f>
        <v/>
      </c>
      <c r="P350" s="6">
        <f>O350*1.18</f>
        <v/>
      </c>
    </row>
    <row r="351">
      <c r="A351" s="2" t="n">
        <v>475770251</v>
      </c>
      <c r="B351" s="2" t="inlineStr">
        <is>
          <t>SERVO PRIDE 15W-40-7.5 L</t>
        </is>
      </c>
      <c r="C351" s="3" t="inlineStr">
        <is>
          <t>BUC</t>
        </is>
      </c>
      <c r="D351" s="3" t="inlineStr">
        <is>
          <t>CVO</t>
        </is>
      </c>
      <c r="E351" s="3" t="n">
        <v>7.5</v>
      </c>
      <c r="F351" s="3" t="n">
        <v>7.5</v>
      </c>
      <c r="G351" s="3">
        <f>E351/F351</f>
        <v/>
      </c>
      <c r="H351" s="3" t="n">
        <v>3150</v>
      </c>
      <c r="I351" s="4" t="n">
        <v>2283.12</v>
      </c>
      <c r="J351" s="4">
        <f>I351/1.18</f>
        <v/>
      </c>
      <c r="K351" s="5" t="n">
        <v>0</v>
      </c>
      <c r="L351" s="5">
        <f>(K351)*F351</f>
        <v/>
      </c>
      <c r="M351" s="4">
        <f>J351-L351</f>
        <v/>
      </c>
      <c r="N351" s="3" t="n"/>
      <c r="O351" s="4">
        <f>M351-N351</f>
        <v/>
      </c>
      <c r="P351" s="6">
        <f>O351*1.18</f>
        <v/>
      </c>
    </row>
    <row r="352">
      <c r="A352" s="2" t="n">
        <v>475770253</v>
      </c>
      <c r="B352" s="2" t="inlineStr">
        <is>
          <t>SERVO PRIDE 15W-40-15 L PROMO</t>
        </is>
      </c>
      <c r="C352" s="3" t="inlineStr">
        <is>
          <t>BUC</t>
        </is>
      </c>
      <c r="D352" s="3" t="inlineStr">
        <is>
          <t>CVO</t>
        </is>
      </c>
      <c r="E352" s="3" t="n">
        <v>15</v>
      </c>
      <c r="F352" s="3" t="n">
        <v>15</v>
      </c>
      <c r="G352" s="3">
        <f>E352/F352</f>
        <v/>
      </c>
      <c r="H352" s="3" t="n">
        <v>6300</v>
      </c>
      <c r="I352" s="4" t="n">
        <v>4562.46</v>
      </c>
      <c r="J352" s="4">
        <f>I352/1.18</f>
        <v/>
      </c>
      <c r="K352" s="5" t="n">
        <v>15</v>
      </c>
      <c r="L352" s="5">
        <f>(K352)*F352</f>
        <v/>
      </c>
      <c r="M352" s="4">
        <f>J352-L352</f>
        <v/>
      </c>
      <c r="N352" s="3" t="n"/>
      <c r="O352" s="4">
        <f>M352-N352</f>
        <v/>
      </c>
      <c r="P352" s="6">
        <f>O352*1.18</f>
        <v/>
      </c>
    </row>
    <row r="353">
      <c r="A353" s="2" t="n">
        <v>475770256</v>
      </c>
      <c r="B353" s="2" t="inlineStr">
        <is>
          <t>SERVO PRIDE 15W-40-15 L</t>
        </is>
      </c>
      <c r="C353" s="3" t="inlineStr">
        <is>
          <t>BUC</t>
        </is>
      </c>
      <c r="D353" s="3" t="inlineStr">
        <is>
          <t>CVO</t>
        </is>
      </c>
      <c r="E353" s="3" t="n">
        <v>15</v>
      </c>
      <c r="F353" s="3" t="n">
        <v>15</v>
      </c>
      <c r="G353" s="3">
        <f>E353/F353</f>
        <v/>
      </c>
      <c r="H353" s="3" t="n">
        <v>6300</v>
      </c>
      <c r="I353" s="4" t="n">
        <v>4562.46</v>
      </c>
      <c r="J353" s="4">
        <f>I353/1.18</f>
        <v/>
      </c>
      <c r="K353" s="5" t="n">
        <v>0</v>
      </c>
      <c r="L353" s="5">
        <f>(K353)*F353</f>
        <v/>
      </c>
      <c r="M353" s="4">
        <f>J353-L353</f>
        <v/>
      </c>
      <c r="N353" s="3" t="n"/>
      <c r="O353" s="4">
        <f>M353-N353</f>
        <v/>
      </c>
      <c r="P353" s="6">
        <f>O353*1.18</f>
        <v/>
      </c>
    </row>
    <row r="354">
      <c r="A354" s="2" t="n">
        <v>475770265</v>
      </c>
      <c r="B354" s="2" t="inlineStr">
        <is>
          <t>SERVO PRIDE 15W-40-20 L</t>
        </is>
      </c>
      <c r="C354" s="3" t="inlineStr">
        <is>
          <t>BUC</t>
        </is>
      </c>
      <c r="D354" s="3" t="inlineStr">
        <is>
          <t>CVO</t>
        </is>
      </c>
      <c r="E354" s="3" t="n">
        <v>20</v>
      </c>
      <c r="F354" s="3" t="n">
        <v>20</v>
      </c>
      <c r="G354" s="3">
        <f>E354/F354</f>
        <v/>
      </c>
      <c r="H354" s="3" t="n">
        <v>8400</v>
      </c>
      <c r="I354" s="4" t="n">
        <v>6100.08</v>
      </c>
      <c r="J354" s="4">
        <f>I354/1.18</f>
        <v/>
      </c>
      <c r="K354" s="5" t="n">
        <v>0</v>
      </c>
      <c r="L354" s="5">
        <f>(K354)*F354</f>
        <v/>
      </c>
      <c r="M354" s="4">
        <f>J354-L354</f>
        <v/>
      </c>
      <c r="N354" s="3" t="n"/>
      <c r="O354" s="4">
        <f>M354-N354</f>
        <v/>
      </c>
      <c r="P354" s="6">
        <f>O354*1.18</f>
        <v/>
      </c>
    </row>
    <row r="355">
      <c r="A355" s="2" t="n">
        <v>475770269</v>
      </c>
      <c r="B355" s="2" t="inlineStr">
        <is>
          <t>SERVO PRIDE 15W-40-20 L PROMO</t>
        </is>
      </c>
      <c r="C355" s="3" t="inlineStr">
        <is>
          <t>BUC</t>
        </is>
      </c>
      <c r="D355" s="3" t="inlineStr">
        <is>
          <t>CVO</t>
        </is>
      </c>
      <c r="E355" s="3" t="n">
        <v>20</v>
      </c>
      <c r="F355" s="3" t="n">
        <v>20</v>
      </c>
      <c r="G355" s="3">
        <f>E355/F355</f>
        <v/>
      </c>
      <c r="H355" s="3" t="n">
        <v>8400</v>
      </c>
      <c r="I355" s="4" t="n">
        <v>6100.08</v>
      </c>
      <c r="J355" s="4">
        <f>I355/1.18</f>
        <v/>
      </c>
      <c r="K355" s="5" t="n">
        <v>15</v>
      </c>
      <c r="L355" s="5">
        <f>(K355)*F355</f>
        <v/>
      </c>
      <c r="M355" s="4">
        <f>J355-L355</f>
        <v/>
      </c>
      <c r="N355" s="3" t="n"/>
      <c r="O355" s="4">
        <f>M355-N355</f>
        <v/>
      </c>
      <c r="P355" s="6">
        <f>O355*1.18</f>
        <v/>
      </c>
    </row>
    <row r="356">
      <c r="A356" s="2" t="n">
        <v>475920184</v>
      </c>
      <c r="B356" s="2" t="inlineStr">
        <is>
          <t>SERVO PRIDE 20W-40-20 X 1 L</t>
        </is>
      </c>
      <c r="C356" s="3" t="inlineStr">
        <is>
          <t>CAR</t>
        </is>
      </c>
      <c r="D356" s="3" t="inlineStr">
        <is>
          <t>CVO</t>
        </is>
      </c>
      <c r="E356" s="3" t="n">
        <v>20</v>
      </c>
      <c r="F356" s="3" t="n">
        <v>1</v>
      </c>
      <c r="G356" s="3">
        <f>E356/F356</f>
        <v/>
      </c>
      <c r="H356" s="3" t="n">
        <v>425</v>
      </c>
      <c r="I356" s="4" t="n">
        <v>307.6575</v>
      </c>
      <c r="J356" s="4">
        <f>I356/1.18</f>
        <v/>
      </c>
      <c r="K356" s="5" t="n">
        <v>11</v>
      </c>
      <c r="L356" s="5">
        <f>(K356)*F356</f>
        <v/>
      </c>
      <c r="M356" s="4">
        <f>J356-L356</f>
        <v/>
      </c>
      <c r="N356" s="3" t="n"/>
      <c r="O356" s="4">
        <f>M356-N356</f>
        <v/>
      </c>
      <c r="P356" s="6">
        <f>O356*1.18</f>
        <v/>
      </c>
    </row>
    <row r="357">
      <c r="A357" s="2" t="n">
        <v>475920229</v>
      </c>
      <c r="B357" s="2" t="inlineStr">
        <is>
          <t>SERVO PRIDE 20W-40-20 X 1 L PROMO</t>
        </is>
      </c>
      <c r="C357" s="3" t="inlineStr">
        <is>
          <t>CAR</t>
        </is>
      </c>
      <c r="D357" s="3" t="inlineStr">
        <is>
          <t>CVO</t>
        </is>
      </c>
      <c r="E357" s="3" t="n">
        <v>20</v>
      </c>
      <c r="F357" s="3" t="n">
        <v>1</v>
      </c>
      <c r="G357" s="3">
        <f>E357/F357</f>
        <v/>
      </c>
      <c r="H357" s="3" t="n">
        <v>425</v>
      </c>
      <c r="I357" s="4" t="n">
        <v>307.6575</v>
      </c>
      <c r="J357" s="4">
        <f>I357/1.18</f>
        <v/>
      </c>
      <c r="K357" s="5" t="n">
        <v>0</v>
      </c>
      <c r="L357" s="5">
        <f>(K357)*F357</f>
        <v/>
      </c>
      <c r="M357" s="4">
        <f>J357-L357</f>
        <v/>
      </c>
      <c r="N357" s="3" t="n"/>
      <c r="O357" s="4">
        <f>M357-N357</f>
        <v/>
      </c>
      <c r="P357" s="6">
        <f>O357*1.18</f>
        <v/>
      </c>
    </row>
    <row r="358">
      <c r="A358" s="2" t="n">
        <v>475920234</v>
      </c>
      <c r="B358" s="2" t="inlineStr">
        <is>
          <t>SERVO PRIDE 20W-40-4 X 5 L</t>
        </is>
      </c>
      <c r="C358" s="3" t="inlineStr">
        <is>
          <t>CAR</t>
        </is>
      </c>
      <c r="D358" s="3" t="inlineStr">
        <is>
          <t>CVO</t>
        </is>
      </c>
      <c r="E358" s="3" t="n">
        <v>20</v>
      </c>
      <c r="F358" s="3" t="n">
        <v>5</v>
      </c>
      <c r="G358" s="3">
        <f>E358/F358</f>
        <v/>
      </c>
      <c r="H358" s="3" t="n">
        <v>2100</v>
      </c>
      <c r="I358" s="4" t="n">
        <v>1539.72</v>
      </c>
      <c r="J358" s="4">
        <f>I358/1.18</f>
        <v/>
      </c>
      <c r="K358" s="5" t="n">
        <v>0</v>
      </c>
      <c r="L358" s="5">
        <f>(K358)*F358</f>
        <v/>
      </c>
      <c r="M358" s="4">
        <f>J358-L358</f>
        <v/>
      </c>
      <c r="N358" s="3" t="n"/>
      <c r="O358" s="4">
        <f>M358-N358</f>
        <v/>
      </c>
      <c r="P358" s="6">
        <f>O358*1.18</f>
        <v/>
      </c>
    </row>
    <row r="359">
      <c r="A359" s="2" t="n">
        <v>475920240</v>
      </c>
      <c r="B359" s="2" t="inlineStr">
        <is>
          <t>SERVO PRIDE 20W-40-4 X 5 L PROMO</t>
        </is>
      </c>
      <c r="C359" s="3" t="inlineStr">
        <is>
          <t>CAR</t>
        </is>
      </c>
      <c r="D359" s="3" t="inlineStr">
        <is>
          <t>CVO</t>
        </is>
      </c>
      <c r="E359" s="3" t="n">
        <v>20</v>
      </c>
      <c r="F359" s="3" t="n">
        <v>5</v>
      </c>
      <c r="G359" s="3">
        <f>E359/F359</f>
        <v/>
      </c>
      <c r="H359" s="3" t="n">
        <v>2100</v>
      </c>
      <c r="I359" s="4" t="n">
        <v>1539.72</v>
      </c>
      <c r="J359" s="4">
        <f>I359/1.18</f>
        <v/>
      </c>
      <c r="K359" s="5" t="n">
        <v>15</v>
      </c>
      <c r="L359" s="5">
        <f>(K359)*F359</f>
        <v/>
      </c>
      <c r="M359" s="4">
        <f>J359-L359</f>
        <v/>
      </c>
      <c r="N359" s="3" t="n"/>
      <c r="O359" s="4">
        <f>M359-N359</f>
        <v/>
      </c>
      <c r="P359" s="6">
        <f>O359*1.18</f>
        <v/>
      </c>
    </row>
    <row r="360">
      <c r="A360" s="2" t="n">
        <v>475920241</v>
      </c>
      <c r="B360" s="2" t="inlineStr">
        <is>
          <t>SERVO PRIDE 20W-40-10 L PROMO</t>
        </is>
      </c>
      <c r="C360" s="3" t="inlineStr">
        <is>
          <t>BUC</t>
        </is>
      </c>
      <c r="D360" s="3" t="inlineStr">
        <is>
          <t>CVO</t>
        </is>
      </c>
      <c r="E360" s="3" t="n">
        <v>10</v>
      </c>
      <c r="F360" s="3" t="n">
        <v>10</v>
      </c>
      <c r="G360" s="3">
        <f>E360/F360</f>
        <v/>
      </c>
      <c r="H360" s="3" t="n">
        <v>4200</v>
      </c>
      <c r="I360" s="4" t="n">
        <v>3078.6</v>
      </c>
      <c r="J360" s="4">
        <f>I360/1.18</f>
        <v/>
      </c>
      <c r="K360" s="5" t="n">
        <v>15</v>
      </c>
      <c r="L360" s="5">
        <f>(K360)*F360</f>
        <v/>
      </c>
      <c r="M360" s="4">
        <f>J360-L360</f>
        <v/>
      </c>
      <c r="N360" s="3" t="n"/>
      <c r="O360" s="4">
        <f>M360-N360</f>
        <v/>
      </c>
      <c r="P360" s="6">
        <f>O360*1.18</f>
        <v/>
      </c>
    </row>
    <row r="361">
      <c r="A361" s="2" t="n">
        <v>475920242</v>
      </c>
      <c r="B361" s="2" t="inlineStr">
        <is>
          <t>SERVO PRIDE 20W-40-10 L</t>
        </is>
      </c>
      <c r="C361" s="3" t="inlineStr">
        <is>
          <t>BUC</t>
        </is>
      </c>
      <c r="D361" s="3" t="inlineStr">
        <is>
          <t>CVO</t>
        </is>
      </c>
      <c r="E361" s="3" t="n">
        <v>10</v>
      </c>
      <c r="F361" s="3" t="n">
        <v>10</v>
      </c>
      <c r="G361" s="3">
        <f>E361/F361</f>
        <v/>
      </c>
      <c r="H361" s="3" t="n">
        <v>4200</v>
      </c>
      <c r="I361" s="4" t="n">
        <v>3078.6</v>
      </c>
      <c r="J361" s="4">
        <f>I361/1.18</f>
        <v/>
      </c>
      <c r="K361" s="5" t="n">
        <v>0</v>
      </c>
      <c r="L361" s="5">
        <f>(K361)*F361</f>
        <v/>
      </c>
      <c r="M361" s="4">
        <f>J361-L361</f>
        <v/>
      </c>
      <c r="N361" s="3" t="n"/>
      <c r="O361" s="4">
        <f>M361-N361</f>
        <v/>
      </c>
      <c r="P361" s="6">
        <f>O361*1.18</f>
        <v/>
      </c>
    </row>
    <row r="362">
      <c r="A362" s="2" t="n">
        <v>475920250</v>
      </c>
      <c r="B362" s="2" t="inlineStr">
        <is>
          <t>SERVO PRIDE 20W-40-7.5 L PROMO</t>
        </is>
      </c>
      <c r="C362" s="3" t="inlineStr">
        <is>
          <t>BUC</t>
        </is>
      </c>
      <c r="D362" s="3" t="inlineStr">
        <is>
          <t>CVO</t>
        </is>
      </c>
      <c r="E362" s="3" t="n">
        <v>7.5</v>
      </c>
      <c r="F362" s="3" t="n">
        <v>7.5</v>
      </c>
      <c r="G362" s="3">
        <f>E362/F362</f>
        <v/>
      </c>
      <c r="H362" s="3" t="n">
        <v>3150</v>
      </c>
      <c r="I362" s="4" t="n">
        <v>2313.36</v>
      </c>
      <c r="J362" s="4">
        <f>I362/1.18</f>
        <v/>
      </c>
      <c r="K362" s="5" t="n">
        <v>15</v>
      </c>
      <c r="L362" s="5">
        <f>(K362)*F362</f>
        <v/>
      </c>
      <c r="M362" s="4">
        <f>J362-L362</f>
        <v/>
      </c>
      <c r="N362" s="3" t="n"/>
      <c r="O362" s="4">
        <f>M362-N362</f>
        <v/>
      </c>
      <c r="P362" s="6">
        <f>O362*1.18</f>
        <v/>
      </c>
    </row>
    <row r="363">
      <c r="A363" s="2" t="n">
        <v>475920251</v>
      </c>
      <c r="B363" s="2" t="inlineStr">
        <is>
          <t>SERVO PRIDE 20W-40-7.5 L</t>
        </is>
      </c>
      <c r="C363" s="3" t="inlineStr">
        <is>
          <t>BUC</t>
        </is>
      </c>
      <c r="D363" s="3" t="inlineStr">
        <is>
          <t>CVO</t>
        </is>
      </c>
      <c r="E363" s="3" t="n">
        <v>7.5</v>
      </c>
      <c r="F363" s="3" t="n">
        <v>7.5</v>
      </c>
      <c r="G363" s="3">
        <f>E363/F363</f>
        <v/>
      </c>
      <c r="H363" s="3" t="n">
        <v>3150</v>
      </c>
      <c r="I363" s="4" t="n">
        <v>2313.36</v>
      </c>
      <c r="J363" s="4">
        <f>I363/1.18</f>
        <v/>
      </c>
      <c r="K363" s="5" t="n">
        <v>0</v>
      </c>
      <c r="L363" s="5">
        <f>(K363)*F363</f>
        <v/>
      </c>
      <c r="M363" s="4">
        <f>J363-L363</f>
        <v/>
      </c>
      <c r="N363" s="3" t="n"/>
      <c r="O363" s="4">
        <f>M363-N363</f>
        <v/>
      </c>
      <c r="P363" s="6">
        <f>O363*1.18</f>
        <v/>
      </c>
    </row>
    <row r="364">
      <c r="A364" s="2" t="n">
        <v>475920253</v>
      </c>
      <c r="B364" s="2" t="inlineStr">
        <is>
          <t>SERVO PRIDE 20W-40-15 L PROMO</t>
        </is>
      </c>
      <c r="C364" s="3" t="inlineStr">
        <is>
          <t>BUC</t>
        </is>
      </c>
      <c r="D364" s="3" t="inlineStr">
        <is>
          <t>CVO</t>
        </is>
      </c>
      <c r="E364" s="3" t="n">
        <v>15</v>
      </c>
      <c r="F364" s="3" t="n">
        <v>15</v>
      </c>
      <c r="G364" s="3">
        <f>E364/F364</f>
        <v/>
      </c>
      <c r="H364" s="3" t="n">
        <v>6300</v>
      </c>
      <c r="I364" s="4" t="n">
        <v>4621.68</v>
      </c>
      <c r="J364" s="4">
        <f>I364/1.18</f>
        <v/>
      </c>
      <c r="K364" s="5" t="n">
        <v>15</v>
      </c>
      <c r="L364" s="5">
        <f>(K364)*F364</f>
        <v/>
      </c>
      <c r="M364" s="4">
        <f>J364-L364</f>
        <v/>
      </c>
      <c r="N364" s="3" t="n"/>
      <c r="O364" s="4">
        <f>M364-N364</f>
        <v/>
      </c>
      <c r="P364" s="6">
        <f>O364*1.18</f>
        <v/>
      </c>
    </row>
    <row r="365">
      <c r="A365" s="2" t="n">
        <v>475920256</v>
      </c>
      <c r="B365" s="2" t="inlineStr">
        <is>
          <t>SERVO PRIDE 20W-40-15 L</t>
        </is>
      </c>
      <c r="C365" s="3" t="inlineStr">
        <is>
          <t>BUC</t>
        </is>
      </c>
      <c r="D365" s="3" t="inlineStr">
        <is>
          <t>CVO</t>
        </is>
      </c>
      <c r="E365" s="3" t="n">
        <v>15</v>
      </c>
      <c r="F365" s="3" t="n">
        <v>15</v>
      </c>
      <c r="G365" s="3">
        <f>E365/F365</f>
        <v/>
      </c>
      <c r="H365" s="3" t="n">
        <v>6300</v>
      </c>
      <c r="I365" s="4" t="n">
        <v>4621.68</v>
      </c>
      <c r="J365" s="4">
        <f>I365/1.18</f>
        <v/>
      </c>
      <c r="K365" s="5" t="n">
        <v>0</v>
      </c>
      <c r="L365" s="5">
        <f>(K365)*F365</f>
        <v/>
      </c>
      <c r="M365" s="4">
        <f>J365-L365</f>
        <v/>
      </c>
      <c r="N365" s="3" t="n"/>
      <c r="O365" s="4">
        <f>M365-N365</f>
        <v/>
      </c>
      <c r="P365" s="6">
        <f>O365*1.18</f>
        <v/>
      </c>
    </row>
    <row r="366">
      <c r="A366" s="2" t="n">
        <v>475920265</v>
      </c>
      <c r="B366" s="2" t="inlineStr">
        <is>
          <t>SERVO PRIDE 20W-40-20 L</t>
        </is>
      </c>
      <c r="C366" s="3" t="inlineStr">
        <is>
          <t>BUC</t>
        </is>
      </c>
      <c r="D366" s="3" t="inlineStr">
        <is>
          <t>CVO</t>
        </is>
      </c>
      <c r="E366" s="3" t="n">
        <v>20</v>
      </c>
      <c r="F366" s="3" t="n">
        <v>20</v>
      </c>
      <c r="G366" s="3">
        <f>E366/F366</f>
        <v/>
      </c>
      <c r="H366" s="3" t="n">
        <v>8400</v>
      </c>
      <c r="I366" s="4" t="n">
        <v>6156.360000000001</v>
      </c>
      <c r="J366" s="4">
        <f>I366/1.18</f>
        <v/>
      </c>
      <c r="K366" s="5" t="n">
        <v>0</v>
      </c>
      <c r="L366" s="5">
        <f>(K366)*F366</f>
        <v/>
      </c>
      <c r="M366" s="4">
        <f>J366-L366</f>
        <v/>
      </c>
      <c r="N366" s="3" t="n"/>
      <c r="O366" s="4">
        <f>M366-N366</f>
        <v/>
      </c>
      <c r="P366" s="6">
        <f>O366*1.18</f>
        <v/>
      </c>
    </row>
    <row r="367">
      <c r="A367" s="2" t="n">
        <v>475920269</v>
      </c>
      <c r="B367" s="2" t="inlineStr">
        <is>
          <t>SERVO PRIDE 20W-40-20 L PROMO</t>
        </is>
      </c>
      <c r="C367" s="3" t="inlineStr">
        <is>
          <t>BUC</t>
        </is>
      </c>
      <c r="D367" s="3" t="inlineStr">
        <is>
          <t>CVO</t>
        </is>
      </c>
      <c r="E367" s="3" t="n">
        <v>20</v>
      </c>
      <c r="F367" s="3" t="n">
        <v>20</v>
      </c>
      <c r="G367" s="3">
        <f>E367/F367</f>
        <v/>
      </c>
      <c r="H367" s="3" t="n">
        <v>8400</v>
      </c>
      <c r="I367" s="4" t="n">
        <v>6156.360000000001</v>
      </c>
      <c r="J367" s="4">
        <f>I367/1.18</f>
        <v/>
      </c>
      <c r="K367" s="5" t="n">
        <v>15</v>
      </c>
      <c r="L367" s="5">
        <f>(K367)*F367</f>
        <v/>
      </c>
      <c r="M367" s="4">
        <f>J367-L367</f>
        <v/>
      </c>
      <c r="N367" s="3" t="n"/>
      <c r="O367" s="4">
        <f>M367-N367</f>
        <v/>
      </c>
      <c r="P367" s="6">
        <f>O367*1.18</f>
        <v/>
      </c>
    </row>
    <row r="368">
      <c r="A368" s="2" t="n">
        <v>476170184</v>
      </c>
      <c r="B368" s="2" t="inlineStr">
        <is>
          <t>SERVO PRIDE GEO 15W-40-20 X 1 L</t>
        </is>
      </c>
      <c r="C368" s="3" t="inlineStr">
        <is>
          <t>CAR</t>
        </is>
      </c>
      <c r="D368" s="3" t="inlineStr">
        <is>
          <t>CVO</t>
        </is>
      </c>
      <c r="E368" s="3" t="n">
        <v>20</v>
      </c>
      <c r="F368" s="3" t="n">
        <v>1</v>
      </c>
      <c r="G368" s="3">
        <f>E368/F368</f>
        <v/>
      </c>
      <c r="H368" s="3" t="n">
        <v>410</v>
      </c>
      <c r="I368" s="4" t="n">
        <v>289.255</v>
      </c>
      <c r="J368" s="4">
        <f>I368/1.18</f>
        <v/>
      </c>
      <c r="K368" s="5" t="n">
        <v>20</v>
      </c>
      <c r="L368" s="5">
        <f>(K368)*F368</f>
        <v/>
      </c>
      <c r="M368" s="4">
        <f>J368-L368</f>
        <v/>
      </c>
      <c r="N368" s="3" t="n"/>
      <c r="O368" s="4">
        <f>M368-N368</f>
        <v/>
      </c>
      <c r="P368" s="6">
        <f>O368*1.18</f>
        <v/>
      </c>
    </row>
    <row r="369">
      <c r="A369" s="2" t="n">
        <v>476170203</v>
      </c>
      <c r="B369" s="2" t="inlineStr">
        <is>
          <t>SERVO PRIDE GEO 15W-40-4 X 3 L</t>
        </is>
      </c>
      <c r="C369" s="3" t="inlineStr">
        <is>
          <t>CAR</t>
        </is>
      </c>
      <c r="D369" s="3" t="inlineStr">
        <is>
          <t>CVO</t>
        </is>
      </c>
      <c r="E369" s="3" t="n">
        <v>12</v>
      </c>
      <c r="F369" s="3" t="n">
        <v>3</v>
      </c>
      <c r="G369" s="3">
        <f>E369/F369</f>
        <v/>
      </c>
      <c r="H369" s="3" t="n">
        <v>1230</v>
      </c>
      <c r="I369" s="4" t="n">
        <v>867.273</v>
      </c>
      <c r="J369" s="4">
        <f>I369/1.18</f>
        <v/>
      </c>
      <c r="K369" s="5" t="n">
        <v>0</v>
      </c>
      <c r="L369" s="5">
        <f>(K369)*F369</f>
        <v/>
      </c>
      <c r="M369" s="4">
        <f>J369-L369</f>
        <v/>
      </c>
      <c r="N369" s="3" t="n"/>
      <c r="O369" s="4">
        <f>M369-N369</f>
        <v/>
      </c>
      <c r="P369" s="6">
        <f>O369*1.18</f>
        <v/>
      </c>
    </row>
    <row r="370">
      <c r="A370" s="2" t="n">
        <v>476170204</v>
      </c>
      <c r="B370" s="2" t="inlineStr">
        <is>
          <t>SERVO PRIDE GEO 15W-40-4 X 3 L PROMO</t>
        </is>
      </c>
      <c r="C370" s="3" t="inlineStr">
        <is>
          <t>CAR</t>
        </is>
      </c>
      <c r="D370" s="3" t="inlineStr">
        <is>
          <t>CVO</t>
        </is>
      </c>
      <c r="E370" s="3" t="n">
        <v>12</v>
      </c>
      <c r="F370" s="3" t="n">
        <v>3</v>
      </c>
      <c r="G370" s="3">
        <f>E370/F370</f>
        <v/>
      </c>
      <c r="H370" s="3" t="n">
        <v>1230</v>
      </c>
      <c r="I370" s="4" t="n">
        <v>867.273</v>
      </c>
      <c r="J370" s="4">
        <f>I370/1.18</f>
        <v/>
      </c>
      <c r="K370" s="5" t="n">
        <v>20</v>
      </c>
      <c r="L370" s="5">
        <f>(K370)*F370</f>
        <v/>
      </c>
      <c r="M370" s="4">
        <f>J370-L370</f>
        <v/>
      </c>
      <c r="N370" s="3" t="n"/>
      <c r="O370" s="4">
        <f>M370-N370</f>
        <v/>
      </c>
      <c r="P370" s="6">
        <f>O370*1.18</f>
        <v/>
      </c>
    </row>
    <row r="371">
      <c r="A371" s="2" t="n">
        <v>476170229</v>
      </c>
      <c r="B371" s="2" t="inlineStr">
        <is>
          <t>SERVO PRIDE GEO 15W-40-20 X 1 L PROMO</t>
        </is>
      </c>
      <c r="C371" s="3" t="inlineStr">
        <is>
          <t>CAR</t>
        </is>
      </c>
      <c r="D371" s="3" t="inlineStr">
        <is>
          <t>CVO</t>
        </is>
      </c>
      <c r="E371" s="3" t="n">
        <v>20</v>
      </c>
      <c r="F371" s="3" t="n">
        <v>1</v>
      </c>
      <c r="G371" s="3">
        <f>E371/F371</f>
        <v/>
      </c>
      <c r="H371" s="3" t="n">
        <v>410</v>
      </c>
      <c r="I371" s="4" t="n">
        <v>289.255</v>
      </c>
      <c r="J371" s="4">
        <f>I371/1.18</f>
        <v/>
      </c>
      <c r="K371" s="5" t="n">
        <v>0</v>
      </c>
      <c r="L371" s="5">
        <f>(K371)*F371</f>
        <v/>
      </c>
      <c r="M371" s="4">
        <f>J371-L371</f>
        <v/>
      </c>
      <c r="N371" s="3" t="n"/>
      <c r="O371" s="4">
        <f>M371-N371</f>
        <v/>
      </c>
      <c r="P371" s="6">
        <f>O371*1.18</f>
        <v/>
      </c>
    </row>
    <row r="372">
      <c r="A372" s="2" t="n">
        <v>476170234</v>
      </c>
      <c r="B372" s="2" t="inlineStr">
        <is>
          <t>SERVO PRIDE GEO 15W-40-4 X 5 L</t>
        </is>
      </c>
      <c r="C372" s="3" t="inlineStr">
        <is>
          <t>CAR</t>
        </is>
      </c>
      <c r="D372" s="3" t="inlineStr">
        <is>
          <t>CVO</t>
        </is>
      </c>
      <c r="E372" s="3" t="n">
        <v>20</v>
      </c>
      <c r="F372" s="3" t="n">
        <v>5</v>
      </c>
      <c r="G372" s="3">
        <f>E372/F372</f>
        <v/>
      </c>
      <c r="H372" s="3" t="n">
        <v>2050</v>
      </c>
      <c r="I372" s="4" t="n">
        <v>1447.915</v>
      </c>
      <c r="J372" s="4">
        <f>I372/1.18</f>
        <v/>
      </c>
      <c r="K372" s="5" t="n">
        <v>0</v>
      </c>
      <c r="L372" s="5">
        <f>(K372)*F372</f>
        <v/>
      </c>
      <c r="M372" s="4">
        <f>J372-L372</f>
        <v/>
      </c>
      <c r="N372" s="3" t="n"/>
      <c r="O372" s="4">
        <f>M372-N372</f>
        <v/>
      </c>
      <c r="P372" s="6">
        <f>O372*1.18</f>
        <v/>
      </c>
    </row>
    <row r="373">
      <c r="A373" s="2" t="n">
        <v>476170240</v>
      </c>
      <c r="B373" s="2" t="inlineStr">
        <is>
          <t>SERVO PRIDE GEO 15W-40-4 X 5 L PROMO</t>
        </is>
      </c>
      <c r="C373" s="3" t="inlineStr">
        <is>
          <t>CAR</t>
        </is>
      </c>
      <c r="D373" s="3" t="inlineStr">
        <is>
          <t>CVO</t>
        </is>
      </c>
      <c r="E373" s="3" t="n">
        <v>20</v>
      </c>
      <c r="F373" s="3" t="n">
        <v>5</v>
      </c>
      <c r="G373" s="3">
        <f>E373/F373</f>
        <v/>
      </c>
      <c r="H373" s="3" t="n">
        <v>2050</v>
      </c>
      <c r="I373" s="4" t="n">
        <v>1447.915</v>
      </c>
      <c r="J373" s="4">
        <f>I373/1.18</f>
        <v/>
      </c>
      <c r="K373" s="5" t="n">
        <v>20</v>
      </c>
      <c r="L373" s="5">
        <f>(K373)*F373</f>
        <v/>
      </c>
      <c r="M373" s="4">
        <f>J373-L373</f>
        <v/>
      </c>
      <c r="N373" s="3" t="n"/>
      <c r="O373" s="4">
        <f>M373-N373</f>
        <v/>
      </c>
      <c r="P373" s="6">
        <f>O373*1.18</f>
        <v/>
      </c>
    </row>
    <row r="374">
      <c r="A374" s="2" t="n">
        <v>476170241</v>
      </c>
      <c r="B374" s="2" t="inlineStr">
        <is>
          <t>SERVO PRIDE GEO 15W-40-10 L PROMO</t>
        </is>
      </c>
      <c r="C374" s="3" t="inlineStr">
        <is>
          <t>CAR</t>
        </is>
      </c>
      <c r="D374" s="3" t="inlineStr">
        <is>
          <t>CVO</t>
        </is>
      </c>
      <c r="E374" s="3" t="n">
        <v>10</v>
      </c>
      <c r="F374" s="3" t="n">
        <v>10</v>
      </c>
      <c r="G374" s="3">
        <f>E374/F374</f>
        <v/>
      </c>
      <c r="H374" s="3" t="n">
        <v>4100</v>
      </c>
      <c r="I374" s="4" t="n">
        <v>2877.38</v>
      </c>
      <c r="J374" s="4">
        <f>I374/1.18</f>
        <v/>
      </c>
      <c r="K374" s="5" t="n">
        <v>20</v>
      </c>
      <c r="L374" s="5">
        <f>(K374)*F374</f>
        <v/>
      </c>
      <c r="M374" s="4">
        <f>J374-L374</f>
        <v/>
      </c>
      <c r="N374" s="3" t="n"/>
      <c r="O374" s="4">
        <f>M374-N374</f>
        <v/>
      </c>
      <c r="P374" s="6">
        <f>O374*1.18</f>
        <v/>
      </c>
    </row>
    <row r="375">
      <c r="A375" s="2" t="n">
        <v>476170242</v>
      </c>
      <c r="B375" s="2" t="inlineStr">
        <is>
          <t>SERVO PRIDE GEO 15W-40-10 L</t>
        </is>
      </c>
      <c r="C375" s="3" t="inlineStr">
        <is>
          <t>CAR</t>
        </is>
      </c>
      <c r="D375" s="3" t="inlineStr">
        <is>
          <t>CVO</t>
        </is>
      </c>
      <c r="E375" s="3" t="n">
        <v>10</v>
      </c>
      <c r="F375" s="3" t="n">
        <v>10</v>
      </c>
      <c r="G375" s="3">
        <f>E375/F375</f>
        <v/>
      </c>
      <c r="H375" s="3" t="n">
        <v>4100</v>
      </c>
      <c r="I375" s="4" t="n">
        <v>2877.38</v>
      </c>
      <c r="J375" s="4">
        <f>I375/1.18</f>
        <v/>
      </c>
      <c r="K375" s="5" t="n">
        <v>0</v>
      </c>
      <c r="L375" s="5">
        <f>(K375)*F375</f>
        <v/>
      </c>
      <c r="M375" s="4">
        <f>J375-L375</f>
        <v/>
      </c>
      <c r="N375" s="3" t="n"/>
      <c r="O375" s="4">
        <f>M375-N375</f>
        <v/>
      </c>
      <c r="P375" s="6">
        <f>O375*1.18</f>
        <v/>
      </c>
    </row>
    <row r="376">
      <c r="A376" s="2" t="n">
        <v>476170250</v>
      </c>
      <c r="B376" s="2" t="inlineStr">
        <is>
          <t>SERVO PRIDE GEO 15W-40-7.5 L PROMO</t>
        </is>
      </c>
      <c r="C376" s="3" t="inlineStr">
        <is>
          <t>CAR</t>
        </is>
      </c>
      <c r="D376" s="3" t="inlineStr">
        <is>
          <t>CVO</t>
        </is>
      </c>
      <c r="E376" s="3" t="n">
        <v>7.5</v>
      </c>
      <c r="F376" s="3" t="n">
        <v>7.5</v>
      </c>
      <c r="G376" s="3">
        <f>E376/F376</f>
        <v/>
      </c>
      <c r="H376" s="3" t="n">
        <v>3075</v>
      </c>
      <c r="I376" s="4" t="n">
        <v>2166.9525</v>
      </c>
      <c r="J376" s="4">
        <f>I376/1.18</f>
        <v/>
      </c>
      <c r="K376" s="5" t="n">
        <v>20</v>
      </c>
      <c r="L376" s="5">
        <f>(K376)*F376</f>
        <v/>
      </c>
      <c r="M376" s="4">
        <f>J376-L376</f>
        <v/>
      </c>
      <c r="N376" s="3" t="n"/>
      <c r="O376" s="4">
        <f>M376-N376</f>
        <v/>
      </c>
      <c r="P376" s="6">
        <f>O376*1.18</f>
        <v/>
      </c>
    </row>
    <row r="377">
      <c r="A377" s="2" t="n">
        <v>476170251</v>
      </c>
      <c r="B377" s="2" t="inlineStr">
        <is>
          <t>SERVO PRIDE GEO 15W-40-7.5 L</t>
        </is>
      </c>
      <c r="C377" s="3" t="inlineStr">
        <is>
          <t>CAR</t>
        </is>
      </c>
      <c r="D377" s="3" t="inlineStr">
        <is>
          <t>CVO</t>
        </is>
      </c>
      <c r="E377" s="3" t="n">
        <v>7.5</v>
      </c>
      <c r="F377" s="3" t="n">
        <v>7.5</v>
      </c>
      <c r="G377" s="3">
        <f>E377/F377</f>
        <v/>
      </c>
      <c r="H377" s="3" t="n">
        <v>3075</v>
      </c>
      <c r="I377" s="4" t="n">
        <v>2166.9525</v>
      </c>
      <c r="J377" s="4">
        <f>I377/1.18</f>
        <v/>
      </c>
      <c r="K377" s="5" t="n">
        <v>0</v>
      </c>
      <c r="L377" s="5">
        <f>(K377)*F377</f>
        <v/>
      </c>
      <c r="M377" s="4">
        <f>J377-L377</f>
        <v/>
      </c>
      <c r="N377" s="3" t="n"/>
      <c r="O377" s="4">
        <f>M377-N377</f>
        <v/>
      </c>
      <c r="P377" s="6">
        <f>O377*1.18</f>
        <v/>
      </c>
    </row>
    <row r="378">
      <c r="A378" s="2" t="n">
        <v>476170253</v>
      </c>
      <c r="B378" s="2" t="inlineStr">
        <is>
          <t>SERVO PRIDE GEO 15W-40-15 L PROMO</t>
        </is>
      </c>
      <c r="C378" s="3" t="inlineStr">
        <is>
          <t>CAR</t>
        </is>
      </c>
      <c r="D378" s="3" t="inlineStr">
        <is>
          <t>CVO</t>
        </is>
      </c>
      <c r="E378" s="3" t="n">
        <v>15</v>
      </c>
      <c r="F378" s="3" t="n">
        <v>15</v>
      </c>
      <c r="G378" s="3">
        <f>E378/F378</f>
        <v/>
      </c>
      <c r="H378" s="3" t="n">
        <v>6150</v>
      </c>
      <c r="I378" s="4" t="n">
        <v>4258.259999999999</v>
      </c>
      <c r="J378" s="4">
        <f>I378/1.18</f>
        <v/>
      </c>
      <c r="K378" s="5" t="n">
        <v>20</v>
      </c>
      <c r="L378" s="5">
        <f>(K378)*F378</f>
        <v/>
      </c>
      <c r="M378" s="4">
        <f>J378-L378</f>
        <v/>
      </c>
      <c r="N378" s="3" t="n"/>
      <c r="O378" s="4">
        <f>M378-N378</f>
        <v/>
      </c>
      <c r="P378" s="6">
        <f>O378*1.18</f>
        <v/>
      </c>
    </row>
    <row r="379">
      <c r="A379" s="2" t="n">
        <v>476170256</v>
      </c>
      <c r="B379" s="2" t="inlineStr">
        <is>
          <t>SERVO PRIDE GEO 15W-40-15 L</t>
        </is>
      </c>
      <c r="C379" s="3" t="inlineStr">
        <is>
          <t>CAR</t>
        </is>
      </c>
      <c r="D379" s="3" t="inlineStr">
        <is>
          <t>CVO</t>
        </is>
      </c>
      <c r="E379" s="3" t="n">
        <v>15</v>
      </c>
      <c r="F379" s="3" t="n">
        <v>15</v>
      </c>
      <c r="G379" s="3">
        <f>E379/F379</f>
        <v/>
      </c>
      <c r="H379" s="3" t="n">
        <v>6150</v>
      </c>
      <c r="I379" s="4" t="n">
        <v>4258.259999999999</v>
      </c>
      <c r="J379" s="4">
        <f>I379/1.18</f>
        <v/>
      </c>
      <c r="K379" s="5" t="n">
        <v>0</v>
      </c>
      <c r="L379" s="5">
        <f>(K379)*F379</f>
        <v/>
      </c>
      <c r="M379" s="4">
        <f>J379-L379</f>
        <v/>
      </c>
      <c r="N379" s="3" t="n"/>
      <c r="O379" s="4">
        <f>M379-N379</f>
        <v/>
      </c>
      <c r="P379" s="6">
        <f>O379*1.18</f>
        <v/>
      </c>
    </row>
    <row r="380">
      <c r="A380" s="2" t="n">
        <v>476170265</v>
      </c>
      <c r="B380" s="2" t="inlineStr">
        <is>
          <t>SERVO PRIDE GEO 15W-40-20 L</t>
        </is>
      </c>
      <c r="C380" s="3" t="inlineStr">
        <is>
          <t>CAR</t>
        </is>
      </c>
      <c r="D380" s="3" t="inlineStr">
        <is>
          <t>CVO</t>
        </is>
      </c>
      <c r="E380" s="3" t="n">
        <v>20</v>
      </c>
      <c r="F380" s="3" t="n">
        <v>20</v>
      </c>
      <c r="G380" s="3">
        <f>E380/F380</f>
        <v/>
      </c>
      <c r="H380" s="3" t="n">
        <v>8200</v>
      </c>
      <c r="I380" s="4" t="n">
        <v>5562.06</v>
      </c>
      <c r="J380" s="4">
        <f>I380/1.18</f>
        <v/>
      </c>
      <c r="K380" s="5" t="n">
        <v>0</v>
      </c>
      <c r="L380" s="5">
        <f>(K380)*F380</f>
        <v/>
      </c>
      <c r="M380" s="4">
        <f>J380-L380</f>
        <v/>
      </c>
      <c r="N380" s="3" t="n"/>
      <c r="O380" s="4">
        <f>M380-N380</f>
        <v/>
      </c>
      <c r="P380" s="6">
        <f>O380*1.18</f>
        <v/>
      </c>
    </row>
    <row r="381">
      <c r="A381" s="2" t="n">
        <v>476170269</v>
      </c>
      <c r="B381" s="2" t="inlineStr">
        <is>
          <t>SERVO PRIDE GEO 15W-40-20 L PROMO</t>
        </is>
      </c>
      <c r="C381" s="3" t="inlineStr">
        <is>
          <t>CAR</t>
        </is>
      </c>
      <c r="D381" s="3" t="inlineStr">
        <is>
          <t>CVO</t>
        </is>
      </c>
      <c r="E381" s="3" t="n">
        <v>20</v>
      </c>
      <c r="F381" s="3" t="n">
        <v>20</v>
      </c>
      <c r="G381" s="3">
        <f>E381/F381</f>
        <v/>
      </c>
      <c r="H381" s="3" t="n">
        <v>8200</v>
      </c>
      <c r="I381" s="4" t="n">
        <v>5562.06</v>
      </c>
      <c r="J381" s="4">
        <f>I381/1.18</f>
        <v/>
      </c>
      <c r="K381" s="5" t="n">
        <v>20</v>
      </c>
      <c r="L381" s="5">
        <f>(K381)*F381</f>
        <v/>
      </c>
      <c r="M381" s="4">
        <f>J381-L381</f>
        <v/>
      </c>
      <c r="N381" s="3" t="n"/>
      <c r="O381" s="4">
        <f>M381-N381</f>
        <v/>
      </c>
      <c r="P381" s="6">
        <f>O381*1.18</f>
        <v/>
      </c>
    </row>
    <row r="382">
      <c r="A382" s="2" t="n">
        <v>476190174</v>
      </c>
      <c r="B382" s="2" t="inlineStr">
        <is>
          <t>SERVO PRIDE GEO 20W-50-40 X 1/2 L</t>
        </is>
      </c>
      <c r="C382" s="3" t="inlineStr">
        <is>
          <t>CAR</t>
        </is>
      </c>
      <c r="D382" s="3" t="inlineStr">
        <is>
          <t>CVO</t>
        </is>
      </c>
      <c r="E382" s="3" t="n">
        <v>20</v>
      </c>
      <c r="F382" s="3" t="n">
        <v>0.5</v>
      </c>
      <c r="G382" s="3">
        <f>E382/F382</f>
        <v/>
      </c>
      <c r="H382" s="3" t="n">
        <v>225</v>
      </c>
      <c r="I382" s="4" t="n">
        <v>152.8425</v>
      </c>
      <c r="J382" s="4">
        <f>I382/1.18</f>
        <v/>
      </c>
      <c r="K382" s="5" t="n">
        <v>0</v>
      </c>
      <c r="L382" s="5">
        <f>(K382)*F382</f>
        <v/>
      </c>
      <c r="M382" s="4">
        <f>J382-L382</f>
        <v/>
      </c>
      <c r="N382" s="3" t="n"/>
      <c r="O382" s="4">
        <f>M382-N382</f>
        <v/>
      </c>
      <c r="P382" s="6">
        <f>O382*1.18</f>
        <v/>
      </c>
    </row>
    <row r="383">
      <c r="A383" s="2" t="n">
        <v>476190175</v>
      </c>
      <c r="B383" s="2" t="inlineStr">
        <is>
          <t>SERVO PRIDE GEO 20W-50-20 X 1/2 L</t>
        </is>
      </c>
      <c r="C383" s="3" t="inlineStr">
        <is>
          <t>CAR</t>
        </is>
      </c>
      <c r="D383" s="3" t="inlineStr">
        <is>
          <t>CVO</t>
        </is>
      </c>
      <c r="E383" s="3" t="n">
        <v>10</v>
      </c>
      <c r="F383" s="3" t="n">
        <v>0.5</v>
      </c>
      <c r="G383" s="3">
        <f>E383/F383</f>
        <v/>
      </c>
      <c r="H383" s="3" t="n">
        <v>225</v>
      </c>
      <c r="I383" s="4" t="n">
        <v>152.8425</v>
      </c>
      <c r="J383" s="4">
        <f>I383/1.18</f>
        <v/>
      </c>
      <c r="K383" s="5" t="n">
        <v>10</v>
      </c>
      <c r="L383" s="5">
        <f>(K383)*F383</f>
        <v/>
      </c>
      <c r="M383" s="4">
        <f>J383-L383</f>
        <v/>
      </c>
      <c r="N383" s="3" t="n"/>
      <c r="O383" s="4">
        <f>M383-N383</f>
        <v/>
      </c>
      <c r="P383" s="6">
        <f>O383*1.18</f>
        <v/>
      </c>
    </row>
    <row r="384">
      <c r="A384" s="2" t="n">
        <v>476190184</v>
      </c>
      <c r="B384" s="2" t="inlineStr">
        <is>
          <t>SERVO PRIDE GEO 20W-50-20 X 1 L</t>
        </is>
      </c>
      <c r="C384" s="3" t="inlineStr">
        <is>
          <t>CAR</t>
        </is>
      </c>
      <c r="D384" s="3" t="inlineStr">
        <is>
          <t>CVO</t>
        </is>
      </c>
      <c r="E384" s="3" t="n">
        <v>20</v>
      </c>
      <c r="F384" s="3" t="n">
        <v>1</v>
      </c>
      <c r="G384" s="3">
        <f>E384/F384</f>
        <v/>
      </c>
      <c r="H384" s="3" t="n">
        <v>425</v>
      </c>
      <c r="I384" s="4" t="n">
        <v>285.175</v>
      </c>
      <c r="J384" s="4">
        <f>I384/1.18</f>
        <v/>
      </c>
      <c r="K384" s="5" t="n">
        <v>20</v>
      </c>
      <c r="L384" s="5">
        <f>(K384)*F384</f>
        <v/>
      </c>
      <c r="M384" s="4">
        <f>J384-L384</f>
        <v/>
      </c>
      <c r="N384" s="3" t="n"/>
      <c r="O384" s="4">
        <f>M384-N384</f>
        <v/>
      </c>
      <c r="P384" s="6">
        <f>O384*1.18</f>
        <v/>
      </c>
    </row>
    <row r="385">
      <c r="A385" s="2" t="n">
        <v>476190203</v>
      </c>
      <c r="B385" s="2" t="inlineStr">
        <is>
          <t>SERVO PRIDE GEO 20W-50-4 X 3 L</t>
        </is>
      </c>
      <c r="C385" s="3" t="inlineStr">
        <is>
          <t>CAR</t>
        </is>
      </c>
      <c r="D385" s="3" t="inlineStr">
        <is>
          <t>CVO</t>
        </is>
      </c>
      <c r="E385" s="3" t="n">
        <v>12</v>
      </c>
      <c r="F385" s="3" t="n">
        <v>3</v>
      </c>
      <c r="G385" s="3">
        <f>E385/F385</f>
        <v/>
      </c>
      <c r="H385" s="3" t="n">
        <v>1275</v>
      </c>
      <c r="I385" s="4" t="n">
        <v>855.6525</v>
      </c>
      <c r="J385" s="4">
        <f>I385/1.18</f>
        <v/>
      </c>
      <c r="K385" s="5" t="n">
        <v>0</v>
      </c>
      <c r="L385" s="5">
        <f>(K385)*F385</f>
        <v/>
      </c>
      <c r="M385" s="4">
        <f>J385-L385</f>
        <v/>
      </c>
      <c r="N385" s="3" t="n"/>
      <c r="O385" s="4">
        <f>M385-N385</f>
        <v/>
      </c>
      <c r="P385" s="6">
        <f>O385*1.18</f>
        <v/>
      </c>
    </row>
    <row r="386">
      <c r="A386" s="2" t="n">
        <v>476190204</v>
      </c>
      <c r="B386" s="2" t="inlineStr">
        <is>
          <t>SERVO PRIDE GEO 20W-50-4 X 3 L PROMO</t>
        </is>
      </c>
      <c r="C386" s="3" t="inlineStr">
        <is>
          <t>CAR</t>
        </is>
      </c>
      <c r="D386" s="3" t="inlineStr">
        <is>
          <t>CVO</t>
        </is>
      </c>
      <c r="E386" s="3" t="n">
        <v>12</v>
      </c>
      <c r="F386" s="3" t="n">
        <v>3</v>
      </c>
      <c r="G386" s="3">
        <f>E386/F386</f>
        <v/>
      </c>
      <c r="H386" s="3" t="n">
        <v>1275</v>
      </c>
      <c r="I386" s="4" t="n">
        <v>855.6525</v>
      </c>
      <c r="J386" s="4">
        <f>I386/1.18</f>
        <v/>
      </c>
      <c r="K386" s="5" t="n">
        <v>20</v>
      </c>
      <c r="L386" s="5">
        <f>(K386)*F386</f>
        <v/>
      </c>
      <c r="M386" s="4">
        <f>J386-L386</f>
        <v/>
      </c>
      <c r="N386" s="3" t="n"/>
      <c r="O386" s="4">
        <f>M386-N386</f>
        <v/>
      </c>
      <c r="P386" s="6">
        <f>O386*1.18</f>
        <v/>
      </c>
    </row>
    <row r="387">
      <c r="A387" s="2" t="n">
        <v>476190229</v>
      </c>
      <c r="B387" s="2" t="inlineStr">
        <is>
          <t>SERVO PRIDE GEO 20W-50-20 X 1 L PROMO</t>
        </is>
      </c>
      <c r="C387" s="3" t="inlineStr">
        <is>
          <t>CAR</t>
        </is>
      </c>
      <c r="D387" s="3" t="inlineStr">
        <is>
          <t>CVO</t>
        </is>
      </c>
      <c r="E387" s="3" t="n">
        <v>20</v>
      </c>
      <c r="F387" s="3" t="n">
        <v>1</v>
      </c>
      <c r="G387" s="3">
        <f>E387/F387</f>
        <v/>
      </c>
      <c r="H387" s="3" t="n">
        <v>425</v>
      </c>
      <c r="I387" s="4" t="n">
        <v>285.175</v>
      </c>
      <c r="J387" s="4">
        <f>I387/1.18</f>
        <v/>
      </c>
      <c r="K387" s="5" t="n">
        <v>0</v>
      </c>
      <c r="L387" s="5">
        <f>(K387)*F387</f>
        <v/>
      </c>
      <c r="M387" s="4">
        <f>J387-L387</f>
        <v/>
      </c>
      <c r="N387" s="3" t="n"/>
      <c r="O387" s="4">
        <f>M387-N387</f>
        <v/>
      </c>
      <c r="P387" s="6">
        <f>O387*1.18</f>
        <v/>
      </c>
    </row>
    <row r="388">
      <c r="A388" s="2" t="n">
        <v>476190265</v>
      </c>
      <c r="B388" s="2" t="inlineStr">
        <is>
          <t>SERVO PRIDE GEO 20W-50-20 L</t>
        </is>
      </c>
      <c r="C388" s="3" t="inlineStr">
        <is>
          <t>CAR</t>
        </is>
      </c>
      <c r="D388" s="3" t="inlineStr">
        <is>
          <t>CVO</t>
        </is>
      </c>
      <c r="E388" s="3" t="n">
        <v>20</v>
      </c>
      <c r="F388" s="3" t="n">
        <v>20</v>
      </c>
      <c r="G388" s="3">
        <f>E388/F388</f>
        <v/>
      </c>
      <c r="H388" s="3" t="n">
        <v>8500</v>
      </c>
      <c r="I388" s="4" t="n">
        <v>5711.150000000001</v>
      </c>
      <c r="J388" s="4">
        <f>I388/1.18</f>
        <v/>
      </c>
      <c r="K388" s="5" t="n">
        <v>0</v>
      </c>
      <c r="L388" s="5">
        <f>(K388)*F388</f>
        <v/>
      </c>
      <c r="M388" s="4">
        <f>J388-L388</f>
        <v/>
      </c>
      <c r="N388" s="3" t="n"/>
      <c r="O388" s="4">
        <f>M388-N388</f>
        <v/>
      </c>
      <c r="P388" s="6">
        <f>O388*1.18</f>
        <v/>
      </c>
    </row>
    <row r="389">
      <c r="A389" s="2" t="n">
        <v>476190269</v>
      </c>
      <c r="B389" s="2" t="inlineStr">
        <is>
          <t>SERVO PRIDE GEO 20W-50-20 L PROMO</t>
        </is>
      </c>
      <c r="C389" s="3" t="inlineStr">
        <is>
          <t>CAR</t>
        </is>
      </c>
      <c r="D389" s="3" t="inlineStr">
        <is>
          <t>CVO</t>
        </is>
      </c>
      <c r="E389" s="3" t="n">
        <v>20</v>
      </c>
      <c r="F389" s="3" t="n">
        <v>20</v>
      </c>
      <c r="G389" s="3">
        <f>E389/F389</f>
        <v/>
      </c>
      <c r="H389" s="3" t="n">
        <v>8500</v>
      </c>
      <c r="I389" s="4" t="n">
        <v>5711.150000000001</v>
      </c>
      <c r="J389" s="4">
        <f>I389/1.18</f>
        <v/>
      </c>
      <c r="K389" s="5" t="n">
        <v>20</v>
      </c>
      <c r="L389" s="5">
        <f>(K389)*F389</f>
        <v/>
      </c>
      <c r="M389" s="4">
        <f>J389-L389</f>
        <v/>
      </c>
      <c r="N389" s="3" t="n"/>
      <c r="O389" s="4">
        <f>M389-N389</f>
        <v/>
      </c>
      <c r="P389" s="6">
        <f>O389*1.18</f>
        <v/>
      </c>
    </row>
    <row r="390">
      <c r="A390" s="2" t="n">
        <v>476250175</v>
      </c>
      <c r="B390" s="2" t="inlineStr">
        <is>
          <t>SERVO FUTURA GEO 20W-50-20 X 1/2 L</t>
        </is>
      </c>
      <c r="C390" s="3" t="inlineStr">
        <is>
          <t>CAR</t>
        </is>
      </c>
      <c r="D390" s="3" t="inlineStr">
        <is>
          <t>PCMO</t>
        </is>
      </c>
      <c r="E390" s="3" t="n">
        <v>10</v>
      </c>
      <c r="F390" s="3" t="n">
        <v>0.5</v>
      </c>
      <c r="G390" s="3">
        <f>E390/F390</f>
        <v/>
      </c>
      <c r="H390" s="3" t="n">
        <v>225</v>
      </c>
      <c r="I390" s="4" t="n">
        <v>162.7425</v>
      </c>
      <c r="J390" s="4">
        <f>I390/1.18</f>
        <v/>
      </c>
      <c r="K390" s="5" t="n">
        <v>20</v>
      </c>
      <c r="L390" s="5">
        <f>(K390)*F390</f>
        <v/>
      </c>
      <c r="M390" s="4">
        <f>J390-L390</f>
        <v/>
      </c>
      <c r="N390" s="3" t="n"/>
      <c r="O390" s="4">
        <f>M390-N390</f>
        <v/>
      </c>
      <c r="P390" s="6">
        <f>O390*1.18</f>
        <v/>
      </c>
    </row>
    <row r="391">
      <c r="A391" s="2" t="n">
        <v>476250184</v>
      </c>
      <c r="B391" s="2" t="inlineStr">
        <is>
          <t>SERVO FUTURA GEO 20W-50-20 X 1 L</t>
        </is>
      </c>
      <c r="C391" s="3" t="inlineStr">
        <is>
          <t>CAR</t>
        </is>
      </c>
      <c r="D391" s="3" t="inlineStr">
        <is>
          <t>PCMO</t>
        </is>
      </c>
      <c r="E391" s="3" t="n">
        <v>20</v>
      </c>
      <c r="F391" s="3" t="n">
        <v>1</v>
      </c>
      <c r="G391" s="3">
        <f>E391/F391</f>
        <v/>
      </c>
      <c r="H391" s="3" t="n">
        <v>429</v>
      </c>
      <c r="I391" s="4" t="n">
        <v>305.448</v>
      </c>
      <c r="J391" s="4">
        <f>I391/1.18</f>
        <v/>
      </c>
      <c r="K391" s="5" t="n">
        <v>30</v>
      </c>
      <c r="L391" s="5">
        <f>(K391)*F391</f>
        <v/>
      </c>
      <c r="M391" s="4">
        <f>J391-L391</f>
        <v/>
      </c>
      <c r="N391" s="3" t="n"/>
      <c r="O391" s="4">
        <f>M391-N391</f>
        <v/>
      </c>
      <c r="P391" s="6">
        <f>O391*1.18</f>
        <v/>
      </c>
    </row>
    <row r="392">
      <c r="A392" s="2" t="n">
        <v>476250199</v>
      </c>
      <c r="B392" s="2" t="inlineStr">
        <is>
          <t>SERVO FUTURA GEO 20W-50-4 X 2.1 L</t>
        </is>
      </c>
      <c r="C392" s="3" t="inlineStr">
        <is>
          <t>CAR</t>
        </is>
      </c>
      <c r="D392" s="3" t="inlineStr">
        <is>
          <t>PCMO</t>
        </is>
      </c>
      <c r="E392" s="3" t="n">
        <v>8.4</v>
      </c>
      <c r="F392" s="3" t="n">
        <v>2.1</v>
      </c>
      <c r="G392" s="3">
        <f>E392/F392</f>
        <v/>
      </c>
      <c r="H392" s="3" t="n">
        <v>895</v>
      </c>
      <c r="I392" s="4" t="n">
        <v>637.8665</v>
      </c>
      <c r="J392" s="4">
        <f>I392/1.18</f>
        <v/>
      </c>
      <c r="K392" s="5" t="n">
        <v>0</v>
      </c>
      <c r="L392" s="5">
        <f>(K392)*F392</f>
        <v/>
      </c>
      <c r="M392" s="4">
        <f>J392-L392</f>
        <v/>
      </c>
      <c r="N392" s="3" t="n"/>
      <c r="O392" s="4">
        <f>M392-N392</f>
        <v/>
      </c>
      <c r="P392" s="6">
        <f>O392*1.18</f>
        <v/>
      </c>
    </row>
    <row r="393">
      <c r="A393" s="2" t="n">
        <v>476250203</v>
      </c>
      <c r="B393" s="2" t="inlineStr">
        <is>
          <t>SERVO FUTURA GEO 20W-50-4 X 3 L</t>
        </is>
      </c>
      <c r="C393" s="3" t="inlineStr">
        <is>
          <t>CAR</t>
        </is>
      </c>
      <c r="D393" s="3" t="inlineStr">
        <is>
          <t>PCMO</t>
        </is>
      </c>
      <c r="E393" s="3" t="n">
        <v>12</v>
      </c>
      <c r="F393" s="3" t="n">
        <v>3</v>
      </c>
      <c r="G393" s="3">
        <f>E393/F393</f>
        <v/>
      </c>
      <c r="H393" s="3" t="n">
        <v>1274</v>
      </c>
      <c r="I393" s="4" t="n">
        <v>908.7442</v>
      </c>
      <c r="J393" s="4">
        <f>I393/1.18</f>
        <v/>
      </c>
      <c r="K393" s="5" t="n">
        <v>0</v>
      </c>
      <c r="L393" s="5">
        <f>(K393)*F393</f>
        <v/>
      </c>
      <c r="M393" s="4">
        <f>J393-L393</f>
        <v/>
      </c>
      <c r="N393" s="3" t="n"/>
      <c r="O393" s="4">
        <f>M393-N393</f>
        <v/>
      </c>
      <c r="P393" s="6">
        <f>O393*1.18</f>
        <v/>
      </c>
    </row>
    <row r="394">
      <c r="A394" s="2" t="n">
        <v>476250265</v>
      </c>
      <c r="B394" s="2" t="inlineStr">
        <is>
          <t>SERVO FUTURA GEO 20W-50-20 L</t>
        </is>
      </c>
      <c r="C394" s="3" t="inlineStr">
        <is>
          <t>CAR</t>
        </is>
      </c>
      <c r="D394" s="3" t="inlineStr">
        <is>
          <t>PCMO</t>
        </is>
      </c>
      <c r="E394" s="3" t="n">
        <v>20</v>
      </c>
      <c r="F394" s="3" t="n">
        <v>20</v>
      </c>
      <c r="G394" s="3">
        <f>E394/F394</f>
        <v/>
      </c>
      <c r="H394" s="3" t="n">
        <v>8401</v>
      </c>
      <c r="I394" s="4" t="n">
        <v>5994.113499999999</v>
      </c>
      <c r="J394" s="4">
        <f>I394/1.18</f>
        <v/>
      </c>
      <c r="K394" s="5" t="n">
        <v>0</v>
      </c>
      <c r="L394" s="5">
        <f>(K394)*F394</f>
        <v/>
      </c>
      <c r="M394" s="4">
        <f>J394-L394</f>
        <v/>
      </c>
      <c r="N394" s="3" t="n"/>
      <c r="O394" s="4">
        <f>M394-N394</f>
        <v/>
      </c>
      <c r="P394" s="6">
        <f>O394*1.18</f>
        <v/>
      </c>
    </row>
    <row r="395">
      <c r="A395" s="2" t="n">
        <v>476250269</v>
      </c>
      <c r="B395" s="2" t="inlineStr">
        <is>
          <t>SERVO FUTURA GEO 20W-50-20 L PROMO</t>
        </is>
      </c>
      <c r="C395" s="3" t="inlineStr">
        <is>
          <t>CAR</t>
        </is>
      </c>
      <c r="D395" s="3" t="inlineStr">
        <is>
          <t>PCMO</t>
        </is>
      </c>
      <c r="E395" s="3" t="n">
        <v>20</v>
      </c>
      <c r="F395" s="3" t="n">
        <v>20</v>
      </c>
      <c r="G395" s="3">
        <f>E395/F395</f>
        <v/>
      </c>
      <c r="H395" s="3" t="n">
        <v>8401</v>
      </c>
      <c r="I395" s="4" t="n">
        <v>5994.113499999999</v>
      </c>
      <c r="J395" s="4">
        <f>I395/1.18</f>
        <v/>
      </c>
      <c r="K395" s="5" t="n">
        <v>30</v>
      </c>
      <c r="L395" s="5">
        <f>(K395)*F395</f>
        <v/>
      </c>
      <c r="M395" s="4">
        <f>J395-L395</f>
        <v/>
      </c>
      <c r="N395" s="3" t="n"/>
      <c r="O395" s="4">
        <f>M395-N395</f>
        <v/>
      </c>
      <c r="P395" s="6">
        <f>O395*1.18</f>
        <v/>
      </c>
    </row>
    <row r="396">
      <c r="A396" s="2" t="n">
        <v>482340184</v>
      </c>
      <c r="B396" s="2" t="inlineStr">
        <is>
          <t>SERVO PRIDE TC 15W-40-20 X 1 L</t>
        </is>
      </c>
      <c r="C396" s="3" t="inlineStr">
        <is>
          <t>CAR</t>
        </is>
      </c>
      <c r="D396" s="3" t="inlineStr">
        <is>
          <t>CVO</t>
        </is>
      </c>
      <c r="E396" s="3" t="n">
        <v>20</v>
      </c>
      <c r="F396" s="3" t="n">
        <v>1</v>
      </c>
      <c r="G396" s="3">
        <f>E396/F396</f>
        <v/>
      </c>
      <c r="H396" s="3" t="n">
        <v>455</v>
      </c>
      <c r="I396" s="4" t="n">
        <v>314.3595</v>
      </c>
      <c r="J396" s="4">
        <f>I396/1.18</f>
        <v/>
      </c>
      <c r="K396" s="5" t="n">
        <v>10</v>
      </c>
      <c r="L396" s="5">
        <f>(K396)*F396</f>
        <v/>
      </c>
      <c r="M396" s="4">
        <f>J396-L396</f>
        <v/>
      </c>
      <c r="N396" s="3" t="n"/>
      <c r="O396" s="4">
        <f>M396-N396</f>
        <v/>
      </c>
      <c r="P396" s="6">
        <f>O396*1.18</f>
        <v/>
      </c>
    </row>
    <row r="397">
      <c r="A397" s="2" t="n">
        <v>482340195</v>
      </c>
      <c r="B397" s="2" t="inlineStr">
        <is>
          <t>SERVO PRIDE TC 15W-40-4 X 2.5 L</t>
        </is>
      </c>
      <c r="C397" s="3" t="inlineStr">
        <is>
          <t>CAR</t>
        </is>
      </c>
      <c r="D397" s="3" t="inlineStr">
        <is>
          <t>CVO</t>
        </is>
      </c>
      <c r="E397" s="3" t="n">
        <v>10</v>
      </c>
      <c r="F397" s="3" t="n">
        <v>2.5</v>
      </c>
      <c r="G397" s="3">
        <f>E397/F397</f>
        <v/>
      </c>
      <c r="H397" s="3" t="n">
        <v>1125</v>
      </c>
      <c r="I397" s="4" t="n">
        <v>799.875</v>
      </c>
      <c r="J397" s="4">
        <f>I397/1.18</f>
        <v/>
      </c>
      <c r="K397" s="5" t="n">
        <v>0</v>
      </c>
      <c r="L397" s="5">
        <f>(K397)*F397</f>
        <v/>
      </c>
      <c r="M397" s="4">
        <f>J397-L397</f>
        <v/>
      </c>
      <c r="N397" s="3" t="n"/>
      <c r="O397" s="4">
        <f>M397-N397</f>
        <v/>
      </c>
      <c r="P397" s="6">
        <f>O397*1.18</f>
        <v/>
      </c>
    </row>
    <row r="398">
      <c r="A398" s="2" t="n">
        <v>482340203</v>
      </c>
      <c r="B398" s="2" t="inlineStr">
        <is>
          <t>SERVO PRIDE TC 15W-40-4 X 3 L</t>
        </is>
      </c>
      <c r="C398" s="3" t="inlineStr">
        <is>
          <t>CAR</t>
        </is>
      </c>
      <c r="D398" s="3" t="inlineStr">
        <is>
          <t>CVO</t>
        </is>
      </c>
      <c r="E398" s="3" t="n">
        <v>12</v>
      </c>
      <c r="F398" s="3" t="n">
        <v>3</v>
      </c>
      <c r="G398" s="3">
        <f>E398/F398</f>
        <v/>
      </c>
      <c r="H398" s="3" t="n">
        <v>1350</v>
      </c>
      <c r="I398" s="4" t="n">
        <v>943.11</v>
      </c>
      <c r="J398" s="4">
        <f>I398/1.18</f>
        <v/>
      </c>
      <c r="K398" s="5" t="n">
        <v>0</v>
      </c>
      <c r="L398" s="5">
        <f>(K398)*F398</f>
        <v/>
      </c>
      <c r="M398" s="4">
        <f>J398-L398</f>
        <v/>
      </c>
      <c r="N398" s="3" t="n"/>
      <c r="O398" s="4">
        <f>M398-N398</f>
        <v/>
      </c>
      <c r="P398" s="6">
        <f>O398*1.18</f>
        <v/>
      </c>
    </row>
    <row r="399">
      <c r="A399" s="2" t="n">
        <v>482340204</v>
      </c>
      <c r="B399" s="2" t="inlineStr">
        <is>
          <t>SERVO PRIDE TC 15W-40-4 X 3 L PROMO</t>
        </is>
      </c>
      <c r="C399" s="3" t="inlineStr">
        <is>
          <t>CAR</t>
        </is>
      </c>
      <c r="D399" s="3" t="inlineStr">
        <is>
          <t>CVO</t>
        </is>
      </c>
      <c r="E399" s="3" t="n">
        <v>12</v>
      </c>
      <c r="F399" s="3" t="n">
        <v>3</v>
      </c>
      <c r="G399" s="3">
        <f>E399/F399</f>
        <v/>
      </c>
      <c r="H399" s="3" t="n">
        <v>1350</v>
      </c>
      <c r="I399" s="4" t="n">
        <v>943.11</v>
      </c>
      <c r="J399" s="4">
        <f>I399/1.18</f>
        <v/>
      </c>
      <c r="K399" s="5" t="n">
        <v>25</v>
      </c>
      <c r="L399" s="5">
        <f>(K399)*F399</f>
        <v/>
      </c>
      <c r="M399" s="4">
        <f>J399-L399</f>
        <v/>
      </c>
      <c r="N399" s="3" t="n"/>
      <c r="O399" s="4">
        <f>M399-N399</f>
        <v/>
      </c>
      <c r="P399" s="6">
        <f>O399*1.18</f>
        <v/>
      </c>
    </row>
    <row r="400">
      <c r="A400" s="2" t="n">
        <v>482340229</v>
      </c>
      <c r="B400" s="2" t="inlineStr">
        <is>
          <t>SERVO PRIDE TC 15W-40-20 X 1 L PROMO</t>
        </is>
      </c>
      <c r="C400" s="3" t="inlineStr">
        <is>
          <t>CAR</t>
        </is>
      </c>
      <c r="D400" s="3" t="inlineStr">
        <is>
          <t>CVO</t>
        </is>
      </c>
      <c r="E400" s="3" t="n">
        <v>20</v>
      </c>
      <c r="F400" s="3" t="n">
        <v>1</v>
      </c>
      <c r="G400" s="3">
        <f>E400/F400</f>
        <v/>
      </c>
      <c r="H400" s="3" t="n">
        <v>455</v>
      </c>
      <c r="I400" s="4" t="n">
        <v>314.3595</v>
      </c>
      <c r="J400" s="4">
        <f>I400/1.18</f>
        <v/>
      </c>
      <c r="K400" s="5" t="n">
        <v>0</v>
      </c>
      <c r="L400" s="5">
        <f>(K400)*F400</f>
        <v/>
      </c>
      <c r="M400" s="4">
        <f>J400-L400</f>
        <v/>
      </c>
      <c r="N400" s="3" t="n"/>
      <c r="O400" s="4">
        <f>M400-N400</f>
        <v/>
      </c>
      <c r="P400" s="6">
        <f>O400*1.18</f>
        <v/>
      </c>
    </row>
    <row r="401">
      <c r="A401" s="2" t="n">
        <v>482340234</v>
      </c>
      <c r="B401" s="2" t="inlineStr">
        <is>
          <t>SERVO PRIDE TC 15W-40-4 X 5 L</t>
        </is>
      </c>
      <c r="C401" s="3" t="inlineStr">
        <is>
          <t>CAR</t>
        </is>
      </c>
      <c r="D401" s="3" t="inlineStr">
        <is>
          <t>CVO</t>
        </is>
      </c>
      <c r="E401" s="3" t="n">
        <v>20</v>
      </c>
      <c r="F401" s="3" t="n">
        <v>5</v>
      </c>
      <c r="G401" s="3">
        <f>E401/F401</f>
        <v/>
      </c>
      <c r="H401" s="3" t="n">
        <v>2250</v>
      </c>
      <c r="I401" s="4" t="n">
        <v>1557.45</v>
      </c>
      <c r="J401" s="4">
        <f>I401/1.18</f>
        <v/>
      </c>
      <c r="K401" s="5" t="n">
        <v>0</v>
      </c>
      <c r="L401" s="5">
        <f>(K401)*F401</f>
        <v/>
      </c>
      <c r="M401" s="4">
        <f>J401-L401</f>
        <v/>
      </c>
      <c r="N401" s="3" t="n"/>
      <c r="O401" s="4">
        <f>M401-N401</f>
        <v/>
      </c>
      <c r="P401" s="6">
        <f>O401*1.18</f>
        <v/>
      </c>
    </row>
    <row r="402">
      <c r="A402" s="2" t="n">
        <v>482340240</v>
      </c>
      <c r="B402" s="2" t="inlineStr">
        <is>
          <t>SERVO PRIDE TC 15W-40-4 X 5 L PROMO</t>
        </is>
      </c>
      <c r="C402" s="3" t="inlineStr">
        <is>
          <t>CAR</t>
        </is>
      </c>
      <c r="D402" s="3" t="inlineStr">
        <is>
          <t>CVO</t>
        </is>
      </c>
      <c r="E402" s="3" t="n">
        <v>20</v>
      </c>
      <c r="F402" s="3" t="n">
        <v>5</v>
      </c>
      <c r="G402" s="3">
        <f>E402/F402</f>
        <v/>
      </c>
      <c r="H402" s="3" t="n">
        <v>2250</v>
      </c>
      <c r="I402" s="4" t="n">
        <v>1557.45</v>
      </c>
      <c r="J402" s="4">
        <f>I402/1.18</f>
        <v/>
      </c>
      <c r="K402" s="5" t="n">
        <v>10</v>
      </c>
      <c r="L402" s="5">
        <f>(K402)*F402</f>
        <v/>
      </c>
      <c r="M402" s="4">
        <f>J402-L402</f>
        <v/>
      </c>
      <c r="N402" s="3" t="n"/>
      <c r="O402" s="4">
        <f>M402-N402</f>
        <v/>
      </c>
      <c r="P402" s="6">
        <f>O402*1.18</f>
        <v/>
      </c>
    </row>
    <row r="403">
      <c r="A403" s="2" t="n">
        <v>482340241</v>
      </c>
      <c r="B403" s="2" t="inlineStr">
        <is>
          <t>SERVO PRIDE TC 15W-40-10 L PROMO</t>
        </is>
      </c>
      <c r="C403" s="3" t="inlineStr">
        <is>
          <t>BUC</t>
        </is>
      </c>
      <c r="D403" s="3" t="inlineStr">
        <is>
          <t>CVO</t>
        </is>
      </c>
      <c r="E403" s="3" t="n">
        <v>10</v>
      </c>
      <c r="F403" s="3" t="n">
        <v>10</v>
      </c>
      <c r="G403" s="3">
        <f>E403/F403</f>
        <v/>
      </c>
      <c r="H403" s="3" t="n">
        <v>4500</v>
      </c>
      <c r="I403" s="4" t="n">
        <v>3082.95</v>
      </c>
      <c r="J403" s="4">
        <f>I403/1.18</f>
        <v/>
      </c>
      <c r="K403" s="5" t="n">
        <v>10</v>
      </c>
      <c r="L403" s="5">
        <f>(K403)*F403</f>
        <v/>
      </c>
      <c r="M403" s="4">
        <f>J403-L403</f>
        <v/>
      </c>
      <c r="N403" s="3" t="n"/>
      <c r="O403" s="4">
        <f>M403-N403</f>
        <v/>
      </c>
      <c r="P403" s="6">
        <f>O403*1.18</f>
        <v/>
      </c>
    </row>
    <row r="404">
      <c r="A404" s="2" t="n">
        <v>482340242</v>
      </c>
      <c r="B404" s="2" t="inlineStr">
        <is>
          <t>SERVO PRIDE TC 15W-40-10 L</t>
        </is>
      </c>
      <c r="C404" s="3" t="inlineStr">
        <is>
          <t>BUC</t>
        </is>
      </c>
      <c r="D404" s="3" t="inlineStr">
        <is>
          <t>CVO</t>
        </is>
      </c>
      <c r="E404" s="3" t="n">
        <v>10</v>
      </c>
      <c r="F404" s="3" t="n">
        <v>10</v>
      </c>
      <c r="G404" s="3">
        <f>E404/F404</f>
        <v/>
      </c>
      <c r="H404" s="3" t="n">
        <v>4500</v>
      </c>
      <c r="I404" s="4" t="n">
        <v>3082.95</v>
      </c>
      <c r="J404" s="4">
        <f>I404/1.18</f>
        <v/>
      </c>
      <c r="K404" s="5" t="n">
        <v>0</v>
      </c>
      <c r="L404" s="5">
        <f>(K404)*F404</f>
        <v/>
      </c>
      <c r="M404" s="4">
        <f>J404-L404</f>
        <v/>
      </c>
      <c r="N404" s="3" t="n"/>
      <c r="O404" s="4">
        <f>M404-N404</f>
        <v/>
      </c>
      <c r="P404" s="6">
        <f>O404*1.18</f>
        <v/>
      </c>
    </row>
    <row r="405">
      <c r="A405" s="2" t="n">
        <v>482340250</v>
      </c>
      <c r="B405" s="2" t="inlineStr">
        <is>
          <t>SERVO PRIDE TC 15W-40-7.5 L PROMO</t>
        </is>
      </c>
      <c r="C405" s="3" t="inlineStr">
        <is>
          <t>BUC</t>
        </is>
      </c>
      <c r="D405" s="3" t="inlineStr">
        <is>
          <t>CVO</t>
        </is>
      </c>
      <c r="E405" s="3" t="n">
        <v>7.5</v>
      </c>
      <c r="F405" s="3" t="n">
        <v>7.5</v>
      </c>
      <c r="G405" s="3">
        <f>E405/F405</f>
        <v/>
      </c>
      <c r="H405" s="3" t="n">
        <v>3375</v>
      </c>
      <c r="I405" s="4" t="n">
        <v>2346.975</v>
      </c>
      <c r="J405" s="4">
        <f>I405/1.18</f>
        <v/>
      </c>
      <c r="K405" s="5" t="n">
        <v>10</v>
      </c>
      <c r="L405" s="5">
        <f>(K405)*F405</f>
        <v/>
      </c>
      <c r="M405" s="4">
        <f>J405-L405</f>
        <v/>
      </c>
      <c r="N405" s="3" t="n"/>
      <c r="O405" s="4">
        <f>M405-N405</f>
        <v/>
      </c>
      <c r="P405" s="6">
        <f>O405*1.18</f>
        <v/>
      </c>
    </row>
    <row r="406">
      <c r="A406" s="2" t="n">
        <v>482340251</v>
      </c>
      <c r="B406" s="2" t="inlineStr">
        <is>
          <t>SERVO PRIDE TC 15W-40-7.5 L</t>
        </is>
      </c>
      <c r="C406" s="3" t="inlineStr">
        <is>
          <t>BUC</t>
        </is>
      </c>
      <c r="D406" s="3" t="inlineStr">
        <is>
          <t>CVO</t>
        </is>
      </c>
      <c r="E406" s="3" t="n">
        <v>7.5</v>
      </c>
      <c r="F406" s="3" t="n">
        <v>7.5</v>
      </c>
      <c r="G406" s="3">
        <f>E406/F406</f>
        <v/>
      </c>
      <c r="H406" s="3" t="n">
        <v>3375</v>
      </c>
      <c r="I406" s="4" t="n">
        <v>2346.975</v>
      </c>
      <c r="J406" s="4">
        <f>I406/1.18</f>
        <v/>
      </c>
      <c r="K406" s="5" t="n">
        <v>0</v>
      </c>
      <c r="L406" s="5">
        <f>(K406)*F406</f>
        <v/>
      </c>
      <c r="M406" s="4">
        <f>J406-L406</f>
        <v/>
      </c>
      <c r="N406" s="3" t="n"/>
      <c r="O406" s="4">
        <f>M406-N406</f>
        <v/>
      </c>
      <c r="P406" s="6">
        <f>O406*1.18</f>
        <v/>
      </c>
    </row>
    <row r="407">
      <c r="A407" s="2" t="n">
        <v>482340253</v>
      </c>
      <c r="B407" s="2" t="inlineStr">
        <is>
          <t>SERVO PRIDE TC 15W-40-15 L PROMO</t>
        </is>
      </c>
      <c r="C407" s="3" t="inlineStr">
        <is>
          <t>BUC</t>
        </is>
      </c>
      <c r="D407" s="3" t="inlineStr">
        <is>
          <t>CVO</t>
        </is>
      </c>
      <c r="E407" s="3" t="n">
        <v>15</v>
      </c>
      <c r="F407" s="3" t="n">
        <v>15</v>
      </c>
      <c r="G407" s="3">
        <f>E407/F407</f>
        <v/>
      </c>
      <c r="H407" s="3" t="n">
        <v>6750</v>
      </c>
      <c r="I407" s="4" t="n">
        <v>4578.525000000001</v>
      </c>
      <c r="J407" s="4">
        <f>I407/1.18</f>
        <v/>
      </c>
      <c r="K407" s="5" t="n">
        <v>10</v>
      </c>
      <c r="L407" s="5">
        <f>(K407)*F407</f>
        <v/>
      </c>
      <c r="M407" s="4">
        <f>J407-L407</f>
        <v/>
      </c>
      <c r="N407" s="3" t="n"/>
      <c r="O407" s="4">
        <f>M407-N407</f>
        <v/>
      </c>
      <c r="P407" s="6">
        <f>O407*1.18</f>
        <v/>
      </c>
    </row>
    <row r="408">
      <c r="A408" s="2" t="n">
        <v>482340256</v>
      </c>
      <c r="B408" s="2" t="inlineStr">
        <is>
          <t>SERVO PRIDE TC 15W-40-15 L</t>
        </is>
      </c>
      <c r="C408" s="3" t="inlineStr">
        <is>
          <t>BUC</t>
        </is>
      </c>
      <c r="D408" s="3" t="inlineStr">
        <is>
          <t>CVO</t>
        </is>
      </c>
      <c r="E408" s="3" t="n">
        <v>15</v>
      </c>
      <c r="F408" s="3" t="n">
        <v>15</v>
      </c>
      <c r="G408" s="3">
        <f>E408/F408</f>
        <v/>
      </c>
      <c r="H408" s="3" t="n">
        <v>6750</v>
      </c>
      <c r="I408" s="4" t="n">
        <v>4578.525000000001</v>
      </c>
      <c r="J408" s="4">
        <f>I408/1.18</f>
        <v/>
      </c>
      <c r="K408" s="5" t="n">
        <v>0</v>
      </c>
      <c r="L408" s="5">
        <f>(K408)*F408</f>
        <v/>
      </c>
      <c r="M408" s="4">
        <f>J408-L408</f>
        <v/>
      </c>
      <c r="N408" s="3" t="n"/>
      <c r="O408" s="4">
        <f>M408-N408</f>
        <v/>
      </c>
      <c r="P408" s="6">
        <f>O408*1.18</f>
        <v/>
      </c>
    </row>
    <row r="409">
      <c r="A409" s="2" t="n">
        <v>482340265</v>
      </c>
      <c r="B409" s="2" t="inlineStr">
        <is>
          <t>SERVO PRIDE TC 15W-40-20 L</t>
        </is>
      </c>
      <c r="C409" s="3" t="inlineStr">
        <is>
          <t>BUC</t>
        </is>
      </c>
      <c r="D409" s="3" t="inlineStr">
        <is>
          <t>CVO</t>
        </is>
      </c>
      <c r="E409" s="3" t="n">
        <v>20</v>
      </c>
      <c r="F409" s="3" t="n">
        <v>20</v>
      </c>
      <c r="G409" s="3">
        <f>E409/F409</f>
        <v/>
      </c>
      <c r="H409" s="3" t="n">
        <v>9000</v>
      </c>
      <c r="I409" s="4" t="n">
        <v>6086.7</v>
      </c>
      <c r="J409" s="4">
        <f>I409/1.18</f>
        <v/>
      </c>
      <c r="K409" s="5" t="n">
        <v>0</v>
      </c>
      <c r="L409" s="5">
        <f>(K409)*F409</f>
        <v/>
      </c>
      <c r="M409" s="4">
        <f>J409-L409</f>
        <v/>
      </c>
      <c r="N409" s="3" t="n"/>
      <c r="O409" s="4">
        <f>M409-N409</f>
        <v/>
      </c>
      <c r="P409" s="6">
        <f>O409*1.18</f>
        <v/>
      </c>
    </row>
    <row r="410">
      <c r="A410" s="2" t="n">
        <v>482340269</v>
      </c>
      <c r="B410" s="2" t="inlineStr">
        <is>
          <t>SERVO PRIDE TC 15W-40-20 L PROMO</t>
        </is>
      </c>
      <c r="C410" s="3" t="inlineStr">
        <is>
          <t>BUC</t>
        </is>
      </c>
      <c r="D410" s="3" t="inlineStr">
        <is>
          <t>CVO</t>
        </is>
      </c>
      <c r="E410" s="3" t="n">
        <v>20</v>
      </c>
      <c r="F410" s="3" t="n">
        <v>20</v>
      </c>
      <c r="G410" s="3">
        <f>E410/F410</f>
        <v/>
      </c>
      <c r="H410" s="3" t="n">
        <v>9000</v>
      </c>
      <c r="I410" s="4" t="n">
        <v>6086.7</v>
      </c>
      <c r="J410" s="4">
        <f>I410/1.18</f>
        <v/>
      </c>
      <c r="K410" s="5" t="n">
        <v>10</v>
      </c>
      <c r="L410" s="5">
        <f>(K410)*F410</f>
        <v/>
      </c>
      <c r="M410" s="4">
        <f>J410-L410</f>
        <v/>
      </c>
      <c r="N410" s="3" t="n"/>
      <c r="O410" s="4">
        <f>M410-N410</f>
        <v/>
      </c>
      <c r="P410" s="6">
        <f>O410*1.18</f>
        <v/>
      </c>
    </row>
    <row r="411">
      <c r="A411" s="2" t="n">
        <v>621130229</v>
      </c>
      <c r="B411" s="2" t="inlineStr">
        <is>
          <t>SERVO HYPERSPORT 4T 5W-30-20 X 1 L PROMO</t>
        </is>
      </c>
      <c r="C411" s="3" t="inlineStr">
        <is>
          <t>CAR</t>
        </is>
      </c>
      <c r="D411" s="3" t="inlineStr">
        <is>
          <t>MCO</t>
        </is>
      </c>
      <c r="E411" s="3" t="n">
        <v>20</v>
      </c>
      <c r="F411" s="3" t="n">
        <v>1</v>
      </c>
      <c r="G411" s="3">
        <f>E411/F411</f>
        <v/>
      </c>
      <c r="H411" s="3" t="n">
        <v>755</v>
      </c>
      <c r="I411" s="4" t="n">
        <v>507.4355</v>
      </c>
      <c r="J411" s="4">
        <f>I411/1.18</f>
        <v/>
      </c>
      <c r="K411" s="5" t="n">
        <v>0</v>
      </c>
      <c r="L411" s="5">
        <f>(K411)*F411</f>
        <v/>
      </c>
      <c r="M411" s="4">
        <f>J411-L411</f>
        <v/>
      </c>
      <c r="N411" s="3" t="n"/>
      <c r="O411" s="4">
        <f>M411-N411</f>
        <v/>
      </c>
      <c r="P411" s="6">
        <f>O411*1.18</f>
        <v/>
      </c>
    </row>
    <row r="412">
      <c r="A412" s="2" t="n">
        <v>621130230</v>
      </c>
      <c r="B412" s="2" t="inlineStr">
        <is>
          <t>SERVO HYPERSPORT 4T 5W-30-20 X0.9L PROMO</t>
        </is>
      </c>
      <c r="C412" s="3" t="inlineStr">
        <is>
          <t>CAR</t>
        </is>
      </c>
      <c r="D412" s="3" t="inlineStr">
        <is>
          <t>MCO</t>
        </is>
      </c>
      <c r="E412" s="3" t="n">
        <v>18</v>
      </c>
      <c r="F412" s="3" t="n">
        <v>0.9</v>
      </c>
      <c r="G412" s="3">
        <f>E412/F412</f>
        <v/>
      </c>
      <c r="H412" s="3" t="n">
        <v>694</v>
      </c>
      <c r="I412" s="4" t="n">
        <v>466.6456</v>
      </c>
      <c r="J412" s="4">
        <f>I412/1.18</f>
        <v/>
      </c>
      <c r="K412" s="5" t="n">
        <v>0</v>
      </c>
      <c r="L412" s="5">
        <f>(K412)*F412</f>
        <v/>
      </c>
      <c r="M412" s="4">
        <f>J412-L412</f>
        <v/>
      </c>
      <c r="N412" s="3" t="n"/>
      <c r="O412" s="4">
        <f>M412-N412</f>
        <v/>
      </c>
      <c r="P412" s="6">
        <f>O412*1.18</f>
        <v/>
      </c>
    </row>
    <row r="413">
      <c r="A413" s="2" t="n">
        <v>621230229</v>
      </c>
      <c r="B413" s="2" t="inlineStr">
        <is>
          <t>SERVO HYPERSPORT 4T 10W30-20 X 1 L PROMO</t>
        </is>
      </c>
      <c r="C413" s="3" t="inlineStr">
        <is>
          <t>CAR</t>
        </is>
      </c>
      <c r="D413" s="3" t="inlineStr">
        <is>
          <t>MCO</t>
        </is>
      </c>
      <c r="E413" s="3" t="n">
        <v>20</v>
      </c>
      <c r="F413" s="3" t="n">
        <v>1</v>
      </c>
      <c r="G413" s="3">
        <f>E413/F413</f>
        <v/>
      </c>
      <c r="H413" s="3" t="n">
        <v>767</v>
      </c>
      <c r="I413" s="4" t="n">
        <v>516.1143000000001</v>
      </c>
      <c r="J413" s="4">
        <f>I413/1.18</f>
        <v/>
      </c>
      <c r="K413" s="5" t="n">
        <v>0</v>
      </c>
      <c r="L413" s="5">
        <f>(K413)*F413</f>
        <v/>
      </c>
      <c r="M413" s="4">
        <f>J413-L413</f>
        <v/>
      </c>
      <c r="N413" s="4">
        <f>M413/21</f>
        <v/>
      </c>
      <c r="O413" s="4">
        <f>M413-N413</f>
        <v/>
      </c>
      <c r="P413" s="6">
        <f>O413*1.18</f>
        <v/>
      </c>
    </row>
    <row r="414">
      <c r="A414" s="2" t="n">
        <v>621230230</v>
      </c>
      <c r="B414" s="2" t="inlineStr">
        <is>
          <t>SERVO HYPERSPORT 4T 10W30-20 X0.9L PROMO</t>
        </is>
      </c>
      <c r="C414" s="3" t="inlineStr">
        <is>
          <t>CAR</t>
        </is>
      </c>
      <c r="D414" s="3" t="inlineStr">
        <is>
          <t>MCO</t>
        </is>
      </c>
      <c r="E414" s="3" t="n">
        <v>18</v>
      </c>
      <c r="F414" s="3" t="n">
        <v>0.9</v>
      </c>
      <c r="G414" s="3">
        <f>E414/F414</f>
        <v/>
      </c>
      <c r="H414" s="3" t="n">
        <v>705</v>
      </c>
      <c r="I414" s="4" t="n">
        <v>474.3945000000001</v>
      </c>
      <c r="J414" s="4">
        <f>I414/1.18</f>
        <v/>
      </c>
      <c r="K414" s="5" t="n">
        <v>0</v>
      </c>
      <c r="L414" s="5">
        <f>(K414)*F414</f>
        <v/>
      </c>
      <c r="M414" s="4">
        <f>J414-L414</f>
        <v/>
      </c>
      <c r="N414" s="4">
        <f>M414/21</f>
        <v/>
      </c>
      <c r="O414" s="4">
        <f>M414-N414</f>
        <v/>
      </c>
      <c r="P414" s="6">
        <f>O414*1.18</f>
        <v/>
      </c>
    </row>
    <row r="415">
      <c r="A415" s="2" t="n">
        <v>621240229</v>
      </c>
      <c r="B415" s="2" t="inlineStr">
        <is>
          <t>SERVO HYPERSPORT 4T 10W-40-20 X 1L PROMO</t>
        </is>
      </c>
      <c r="C415" s="3" t="inlineStr">
        <is>
          <t>CAR</t>
        </is>
      </c>
      <c r="D415" s="3" t="inlineStr">
        <is>
          <t>MCO</t>
        </is>
      </c>
      <c r="E415" s="3" t="n">
        <v>20</v>
      </c>
      <c r="F415" s="3" t="n">
        <v>1</v>
      </c>
      <c r="G415" s="3">
        <f>E415/F415</f>
        <v/>
      </c>
      <c r="H415" s="3" t="n">
        <v>767</v>
      </c>
      <c r="I415" s="4" t="n">
        <v>516.1143000000001</v>
      </c>
      <c r="J415" s="4">
        <f>I415/1.18</f>
        <v/>
      </c>
      <c r="K415" s="5" t="n">
        <v>0</v>
      </c>
      <c r="L415" s="5">
        <f>(K415)*F415</f>
        <v/>
      </c>
      <c r="M415" s="4">
        <f>J415-L415</f>
        <v/>
      </c>
      <c r="N415" s="4">
        <f>M415/21</f>
        <v/>
      </c>
      <c r="O415" s="4">
        <f>M415-N415</f>
        <v/>
      </c>
      <c r="P415" s="6">
        <f>O415*1.18</f>
        <v/>
      </c>
    </row>
    <row r="416">
      <c r="A416" s="2" t="n">
        <v>621240230</v>
      </c>
      <c r="B416" s="2" t="inlineStr">
        <is>
          <t>SERVO HYPERSPORT 4T 10W40-20 X0.9L PROMO</t>
        </is>
      </c>
      <c r="C416" s="3" t="inlineStr">
        <is>
          <t>CAR</t>
        </is>
      </c>
      <c r="D416" s="3" t="inlineStr">
        <is>
          <t>MCO</t>
        </is>
      </c>
      <c r="E416" s="3" t="n">
        <v>18</v>
      </c>
      <c r="F416" s="3" t="n">
        <v>0.9</v>
      </c>
      <c r="G416" s="3">
        <f>E416/F416</f>
        <v/>
      </c>
      <c r="H416" s="3" t="n">
        <v>705</v>
      </c>
      <c r="I416" s="4" t="n">
        <v>474.3945000000001</v>
      </c>
      <c r="J416" s="4">
        <f>I416/1.18</f>
        <v/>
      </c>
      <c r="K416" s="5" t="n">
        <v>0</v>
      </c>
      <c r="L416" s="5">
        <f>(K416)*F416</f>
        <v/>
      </c>
      <c r="M416" s="4">
        <f>J416-L416</f>
        <v/>
      </c>
      <c r="N416" s="4">
        <f>M416/21</f>
        <v/>
      </c>
      <c r="O416" s="4">
        <f>M416-N416</f>
        <v/>
      </c>
      <c r="P416" s="6">
        <f>O416*1.18</f>
        <v/>
      </c>
    </row>
    <row r="417">
      <c r="A417" s="2" t="n">
        <v>621350022</v>
      </c>
      <c r="B417" s="2" t="inlineStr">
        <is>
          <t>SER HYPSPRT 4T 15W50-10 X 1.2 L PROMO</t>
        </is>
      </c>
      <c r="C417" s="3" t="inlineStr">
        <is>
          <t>CAR</t>
        </is>
      </c>
      <c r="D417" s="3" t="inlineStr">
        <is>
          <t>MCO</t>
        </is>
      </c>
      <c r="E417" s="3" t="n">
        <v>12</v>
      </c>
      <c r="F417" s="3" t="n">
        <v>1.2</v>
      </c>
      <c r="G417" s="3">
        <f>E417/F417</f>
        <v/>
      </c>
      <c r="H417" s="3" t="n">
        <v>956</v>
      </c>
      <c r="I417" s="4" t="n">
        <v>646.1604</v>
      </c>
      <c r="J417" s="4">
        <f>I417/1.18</f>
        <v/>
      </c>
      <c r="K417" s="5" t="n">
        <v>0</v>
      </c>
      <c r="L417" s="5">
        <f>(K417)*F417</f>
        <v/>
      </c>
      <c r="M417" s="4">
        <f>J417-L417</f>
        <v/>
      </c>
      <c r="N417" s="4">
        <f>M417/21</f>
        <v/>
      </c>
      <c r="O417" s="4">
        <f>M417-N417</f>
        <v/>
      </c>
      <c r="P417" s="6">
        <f>O417*1.18</f>
        <v/>
      </c>
    </row>
    <row r="418">
      <c r="A418" s="2" t="n">
        <v>621350294</v>
      </c>
      <c r="B418" s="2" t="inlineStr">
        <is>
          <t>SERVO HYPERSPORT 4T 15W-50-4X2.5 L-PROMO</t>
        </is>
      </c>
      <c r="C418" s="3" t="inlineStr">
        <is>
          <t>CAR</t>
        </is>
      </c>
      <c r="D418" s="3" t="inlineStr">
        <is>
          <t>MCO</t>
        </is>
      </c>
      <c r="E418" s="3" t="n">
        <v>10</v>
      </c>
      <c r="F418" s="3" t="n">
        <v>2.5</v>
      </c>
      <c r="G418" s="3">
        <f>E418/F418</f>
        <v/>
      </c>
      <c r="H418" s="3" t="n">
        <v>1937</v>
      </c>
      <c r="I418" s="4" t="n">
        <v>1303.7947</v>
      </c>
      <c r="J418" s="4">
        <f>I418/1.18</f>
        <v/>
      </c>
      <c r="K418" s="5" t="n">
        <v>0</v>
      </c>
      <c r="L418" s="5">
        <f>(K418)*F418</f>
        <v/>
      </c>
      <c r="M418" s="4">
        <f>J418-L418</f>
        <v/>
      </c>
      <c r="N418" s="4">
        <f>M418/21</f>
        <v/>
      </c>
      <c r="O418" s="4">
        <f>M418-N418</f>
        <v/>
      </c>
      <c r="P418" s="6">
        <f>O418*1.18</f>
        <v/>
      </c>
    </row>
    <row r="419">
      <c r="A419" s="2" t="n">
        <v>621440229</v>
      </c>
      <c r="B419" s="2" t="inlineStr">
        <is>
          <t>SERVO HYPERSPORT 4T-20 X 1 L PROMO</t>
        </is>
      </c>
      <c r="C419" s="3" t="inlineStr">
        <is>
          <t>CAR</t>
        </is>
      </c>
      <c r="D419" s="3" t="inlineStr">
        <is>
          <t>MCO</t>
        </is>
      </c>
      <c r="E419" s="3" t="n">
        <v>20</v>
      </c>
      <c r="F419" s="3" t="n">
        <v>1</v>
      </c>
      <c r="G419" s="3">
        <f>E419/F419</f>
        <v/>
      </c>
      <c r="H419" s="3" t="n">
        <v>775</v>
      </c>
      <c r="I419" s="4" t="n">
        <v>521.42</v>
      </c>
      <c r="J419" s="4">
        <f>I419/1.18</f>
        <v/>
      </c>
      <c r="K419" s="5" t="n">
        <v>0</v>
      </c>
      <c r="L419" s="5">
        <f>(K419)*F419</f>
        <v/>
      </c>
      <c r="M419" s="4">
        <f>J419-L419</f>
        <v/>
      </c>
      <c r="N419" s="4">
        <f>M419/21</f>
        <v/>
      </c>
      <c r="O419" s="4">
        <f>M419-N419</f>
        <v/>
      </c>
      <c r="P419" s="6">
        <f>O419*1.18</f>
        <v/>
      </c>
    </row>
    <row r="420">
      <c r="A420" s="2" t="n">
        <v>621440230</v>
      </c>
      <c r="B420" s="2" t="inlineStr">
        <is>
          <t>SERVO HYPERSPORT 4T-20 X 0.9 L PROMO</t>
        </is>
      </c>
      <c r="C420" s="3" t="inlineStr">
        <is>
          <t>CAR</t>
        </is>
      </c>
      <c r="D420" s="3" t="inlineStr">
        <is>
          <t>MCO</t>
        </is>
      </c>
      <c r="E420" s="3" t="n">
        <v>18</v>
      </c>
      <c r="F420" s="3" t="n">
        <v>0.9</v>
      </c>
      <c r="G420" s="3">
        <f>E420/F420</f>
        <v/>
      </c>
      <c r="H420" s="3" t="n">
        <v>725</v>
      </c>
      <c r="I420" s="4" t="n">
        <v>484.4449999999999</v>
      </c>
      <c r="J420" s="4">
        <f>I420/1.18</f>
        <v/>
      </c>
      <c r="K420" s="5" t="n">
        <v>0</v>
      </c>
      <c r="L420" s="5">
        <f>(K420)*F420</f>
        <v/>
      </c>
      <c r="M420" s="4">
        <f>J420-L420</f>
        <v/>
      </c>
      <c r="N420" s="4">
        <f>M420/21</f>
        <v/>
      </c>
      <c r="O420" s="4">
        <f>M420-N420</f>
        <v/>
      </c>
      <c r="P420" s="6">
        <f>O420*1.18</f>
        <v/>
      </c>
    </row>
    <row r="421">
      <c r="A421" s="2" t="n">
        <v>621450022</v>
      </c>
      <c r="B421" s="2" t="inlineStr">
        <is>
          <t>SERVO HYPERSPORT 4T 20W-50-10X1.2L PROMO</t>
        </is>
      </c>
      <c r="C421" s="3" t="inlineStr">
        <is>
          <t>CAR</t>
        </is>
      </c>
      <c r="D421" s="3" t="inlineStr">
        <is>
          <t>MCO</t>
        </is>
      </c>
      <c r="E421" s="3" t="n">
        <v>12</v>
      </c>
      <c r="F421" s="3" t="n">
        <v>1.2</v>
      </c>
      <c r="G421" s="3">
        <f>E421/F421</f>
        <v/>
      </c>
      <c r="H421" s="3" t="n">
        <v>950</v>
      </c>
      <c r="I421" s="4" t="n">
        <v>650.3699999999999</v>
      </c>
      <c r="J421" s="4">
        <f>I421/1.18</f>
        <v/>
      </c>
      <c r="K421" s="5" t="n">
        <v>0</v>
      </c>
      <c r="L421" s="5">
        <f>(K421)*F421</f>
        <v/>
      </c>
      <c r="M421" s="4">
        <f>J421-L421</f>
        <v/>
      </c>
      <c r="N421" s="4">
        <f>M421/21</f>
        <v/>
      </c>
      <c r="O421" s="4">
        <f>M421-N421</f>
        <v/>
      </c>
      <c r="P421" s="6">
        <f>O421*1.18</f>
        <v/>
      </c>
    </row>
    <row r="422">
      <c r="A422" s="2" t="n">
        <v>621450229</v>
      </c>
      <c r="B422" s="2" t="inlineStr">
        <is>
          <t>SERVO HYPERSPORT 4T 20W-50-20 X1 L PROMO</t>
        </is>
      </c>
      <c r="C422" s="3" t="inlineStr">
        <is>
          <t>CAR</t>
        </is>
      </c>
      <c r="D422" s="3" t="inlineStr">
        <is>
          <t>MCO</t>
        </is>
      </c>
      <c r="E422" s="3" t="n">
        <v>20</v>
      </c>
      <c r="F422" s="3" t="n">
        <v>1</v>
      </c>
      <c r="G422" s="3">
        <f>E422/F422</f>
        <v/>
      </c>
      <c r="H422" s="3" t="n">
        <v>774</v>
      </c>
      <c r="I422" s="4" t="n">
        <v>521.1342</v>
      </c>
      <c r="J422" s="4">
        <f>I422/1.18</f>
        <v/>
      </c>
      <c r="K422" s="5" t="n">
        <v>0</v>
      </c>
      <c r="L422" s="5">
        <f>(K422)*F422</f>
        <v/>
      </c>
      <c r="M422" s="4">
        <f>J422-L422</f>
        <v/>
      </c>
      <c r="N422" s="4">
        <f>M422/21</f>
        <v/>
      </c>
      <c r="O422" s="4">
        <f>M422-N422</f>
        <v/>
      </c>
      <c r="P422" s="6">
        <f>O422*1.18</f>
        <v/>
      </c>
    </row>
    <row r="423">
      <c r="A423" s="2" t="n">
        <v>621450230</v>
      </c>
      <c r="B423" s="2" t="inlineStr">
        <is>
          <t>SERVO HYPERSPORT 4T 20W-50-20X0.9L PROMO</t>
        </is>
      </c>
      <c r="C423" s="3" t="inlineStr">
        <is>
          <t>CAR</t>
        </is>
      </c>
      <c r="D423" s="3" t="inlineStr">
        <is>
          <t>MCO</t>
        </is>
      </c>
      <c r="E423" s="3" t="n">
        <v>18</v>
      </c>
      <c r="F423" s="3" t="n">
        <v>0.9</v>
      </c>
      <c r="G423" s="3">
        <f>E423/F423</f>
        <v/>
      </c>
      <c r="H423" s="3" t="n">
        <v>715</v>
      </c>
      <c r="I423" s="4" t="n">
        <v>481.0520000000001</v>
      </c>
      <c r="J423" s="4">
        <f>I423/1.18</f>
        <v/>
      </c>
      <c r="K423" s="5" t="n">
        <v>0</v>
      </c>
      <c r="L423" s="5">
        <f>(K423)*F423</f>
        <v/>
      </c>
      <c r="M423" s="4">
        <f>J423-L423</f>
        <v/>
      </c>
      <c r="N423" s="4">
        <f>M423/21</f>
        <v/>
      </c>
      <c r="O423" s="4">
        <f>M423-N423</f>
        <v/>
      </c>
      <c r="P423" s="6">
        <f>O423*1.18</f>
        <v/>
      </c>
    </row>
    <row r="424">
      <c r="A424" s="2" t="n">
        <v>622240022</v>
      </c>
      <c r="B424" s="2" t="inlineStr">
        <is>
          <t>SERVO HYPERSPORT F5 10W-40-10X1.2L PROMO</t>
        </is>
      </c>
      <c r="C424" s="3" t="inlineStr">
        <is>
          <t>CAR</t>
        </is>
      </c>
      <c r="D424" s="3" t="inlineStr">
        <is>
          <t>MCO</t>
        </is>
      </c>
      <c r="E424" s="3" t="n">
        <v>12</v>
      </c>
      <c r="F424" s="3" t="n">
        <v>1.2</v>
      </c>
      <c r="G424" s="3">
        <f>E424/F424</f>
        <v/>
      </c>
      <c r="H424" s="3" t="n">
        <v>1105</v>
      </c>
      <c r="I424" s="4" t="n">
        <v>746.538</v>
      </c>
      <c r="J424" s="4">
        <f>I424/1.18</f>
        <v/>
      </c>
      <c r="K424" s="5" t="n">
        <v>0</v>
      </c>
      <c r="L424" s="5">
        <f>(K424)*F424</f>
        <v/>
      </c>
      <c r="M424" s="4">
        <f>J424-L424</f>
        <v/>
      </c>
      <c r="N424" s="4">
        <f>M424/21</f>
        <v/>
      </c>
      <c r="O424" s="4">
        <f>M424-N424</f>
        <v/>
      </c>
      <c r="P424" s="6">
        <f>O424*1.18</f>
        <v/>
      </c>
    </row>
    <row r="425">
      <c r="A425" s="2" t="n">
        <v>622240229</v>
      </c>
      <c r="B425" s="2" t="inlineStr">
        <is>
          <t>SERVO HYPERSPORT F5 10W-40-20X 1 L PROMO</t>
        </is>
      </c>
      <c r="C425" s="3" t="inlineStr">
        <is>
          <t>CAR</t>
        </is>
      </c>
      <c r="D425" s="3" t="inlineStr">
        <is>
          <t>MCO</t>
        </is>
      </c>
      <c r="E425" s="3" t="n">
        <v>20</v>
      </c>
      <c r="F425" s="3" t="n">
        <v>1</v>
      </c>
      <c r="G425" s="3">
        <f>E425/F425</f>
        <v/>
      </c>
      <c r="H425" s="3" t="n">
        <v>920</v>
      </c>
      <c r="I425" s="4" t="n">
        <v>621.736</v>
      </c>
      <c r="J425" s="4">
        <f>I425/1.18</f>
        <v/>
      </c>
      <c r="K425" s="5" t="n">
        <v>0</v>
      </c>
      <c r="L425" s="5">
        <f>(K425)*F425</f>
        <v/>
      </c>
      <c r="M425" s="4">
        <f>J425-L425</f>
        <v/>
      </c>
      <c r="N425" s="4">
        <f>M425/21</f>
        <v/>
      </c>
      <c r="O425" s="4">
        <f>M425-N425</f>
        <v/>
      </c>
      <c r="P425" s="6">
        <f>O425*1.18</f>
        <v/>
      </c>
    </row>
    <row r="426">
      <c r="A426" s="2" t="n">
        <v>622240294</v>
      </c>
      <c r="B426" s="2" t="inlineStr">
        <is>
          <t>SERVO HYPERSPORT F5 10W-40-4X2.5L- PROMO</t>
        </is>
      </c>
      <c r="C426" s="3" t="inlineStr">
        <is>
          <t>CAR</t>
        </is>
      </c>
      <c r="D426" s="3" t="inlineStr">
        <is>
          <t>MCO</t>
        </is>
      </c>
      <c r="E426" s="3" t="n">
        <v>10</v>
      </c>
      <c r="F426" s="3" t="n">
        <v>2.5</v>
      </c>
      <c r="G426" s="3">
        <f>E426/F426</f>
        <v/>
      </c>
      <c r="H426" s="3" t="n">
        <v>2301</v>
      </c>
      <c r="I426" s="4" t="n">
        <v>1551.3342</v>
      </c>
      <c r="J426" s="4">
        <f>I426/1.18</f>
        <v/>
      </c>
      <c r="K426" s="5" t="n">
        <v>0</v>
      </c>
      <c r="L426" s="5">
        <f>(K426)*F426</f>
        <v/>
      </c>
      <c r="M426" s="4">
        <f>J426-L426</f>
        <v/>
      </c>
      <c r="N426" s="4">
        <f>M426/21</f>
        <v/>
      </c>
      <c r="O426" s="4">
        <f>M426-N426</f>
        <v/>
      </c>
      <c r="P426" s="6">
        <f>O426*1.18</f>
        <v/>
      </c>
    </row>
    <row r="427">
      <c r="A427" s="2" t="n">
        <v>622250022</v>
      </c>
      <c r="B427" s="2" t="inlineStr">
        <is>
          <t>SERVO HYPERSPORT F5 10W-50-10X1.2L PROMO</t>
        </is>
      </c>
      <c r="C427" s="3" t="inlineStr">
        <is>
          <t>CAR</t>
        </is>
      </c>
      <c r="D427" s="3" t="inlineStr">
        <is>
          <t>MCO</t>
        </is>
      </c>
      <c r="E427" s="3" t="n">
        <v>12</v>
      </c>
      <c r="F427" s="3" t="n">
        <v>1.2</v>
      </c>
      <c r="G427" s="3">
        <f>E427/F427</f>
        <v/>
      </c>
      <c r="H427" s="3" t="n">
        <v>1122</v>
      </c>
      <c r="I427" s="4" t="n">
        <v>763.0722000000001</v>
      </c>
      <c r="J427" s="4">
        <f>I427/1.18</f>
        <v/>
      </c>
      <c r="K427" s="5" t="n">
        <v>0</v>
      </c>
      <c r="L427" s="5">
        <f>(K427)*F427</f>
        <v/>
      </c>
      <c r="M427" s="4">
        <f>J427-L427</f>
        <v/>
      </c>
      <c r="N427" s="4">
        <f>M427/21</f>
        <v/>
      </c>
      <c r="O427" s="4">
        <f>M427-N427</f>
        <v/>
      </c>
      <c r="P427" s="6">
        <f>O427*1.18</f>
        <v/>
      </c>
    </row>
    <row r="428">
      <c r="A428" s="2" t="n">
        <v>622250229</v>
      </c>
      <c r="B428" s="2" t="inlineStr">
        <is>
          <t>SERVO HYPERSPORT F5 10W-50-20 X1 L PROMO</t>
        </is>
      </c>
      <c r="C428" s="3" t="inlineStr">
        <is>
          <t>CAR</t>
        </is>
      </c>
      <c r="D428" s="3" t="inlineStr">
        <is>
          <t>MCO</t>
        </is>
      </c>
      <c r="E428" s="3" t="n">
        <v>20</v>
      </c>
      <c r="F428" s="3" t="n">
        <v>1</v>
      </c>
      <c r="G428" s="3">
        <f>E428/F428</f>
        <v/>
      </c>
      <c r="H428" s="3" t="n">
        <v>936</v>
      </c>
      <c r="I428" s="4" t="n">
        <v>636.48</v>
      </c>
      <c r="J428" s="4">
        <f>I428/1.18</f>
        <v/>
      </c>
      <c r="K428" s="5" t="n">
        <v>0</v>
      </c>
      <c r="L428" s="5">
        <f>(K428)*F428</f>
        <v/>
      </c>
      <c r="M428" s="4">
        <f>J428-L428</f>
        <v/>
      </c>
      <c r="N428" s="4">
        <f>M428/21</f>
        <v/>
      </c>
      <c r="O428" s="4">
        <f>M428-N428</f>
        <v/>
      </c>
      <c r="P428" s="6">
        <f>O428*1.18</f>
        <v/>
      </c>
    </row>
    <row r="429">
      <c r="A429" s="2" t="n">
        <v>622250294</v>
      </c>
      <c r="B429" s="2" t="inlineStr">
        <is>
          <t>SERVO HYPERSPORT F5 10W-50-4X2.5 L-PROMO</t>
        </is>
      </c>
      <c r="C429" s="3" t="inlineStr">
        <is>
          <t>CAR</t>
        </is>
      </c>
      <c r="D429" s="3" t="inlineStr">
        <is>
          <t>MCO</t>
        </is>
      </c>
      <c r="E429" s="3" t="n">
        <v>10</v>
      </c>
      <c r="F429" s="3" t="n">
        <v>2.5</v>
      </c>
      <c r="G429" s="3">
        <f>E429/F429</f>
        <v/>
      </c>
      <c r="H429" s="3" t="n">
        <v>2342</v>
      </c>
      <c r="I429" s="4" t="n">
        <v>1591.1548</v>
      </c>
      <c r="J429" s="4">
        <f>I429/1.18</f>
        <v/>
      </c>
      <c r="K429" s="5" t="n">
        <v>0</v>
      </c>
      <c r="L429" s="5">
        <f>(K429)*F429</f>
        <v/>
      </c>
      <c r="M429" s="4">
        <f>J429-L429</f>
        <v/>
      </c>
      <c r="N429" s="4">
        <f>M429/21</f>
        <v/>
      </c>
      <c r="O429" s="4">
        <f>M429-N429</f>
        <v/>
      </c>
      <c r="P429" s="6">
        <f>O429*1.18</f>
        <v/>
      </c>
    </row>
    <row r="430">
      <c r="A430" s="2" t="n">
        <v>622350022</v>
      </c>
      <c r="B430" s="2" t="inlineStr">
        <is>
          <t>SERVO HYPERSPORT F5 15W-50-10X1.2 LPROMO</t>
        </is>
      </c>
      <c r="C430" s="3" t="inlineStr">
        <is>
          <t>CAR</t>
        </is>
      </c>
      <c r="D430" s="3" t="inlineStr">
        <is>
          <t>MCO</t>
        </is>
      </c>
      <c r="E430" s="3" t="n">
        <v>12</v>
      </c>
      <c r="F430" s="3" t="n">
        <v>1.2</v>
      </c>
      <c r="G430" s="3">
        <f>E430/F430</f>
        <v/>
      </c>
      <c r="H430" s="3" t="n">
        <v>1086</v>
      </c>
      <c r="I430" s="4" t="n">
        <v>774.9696000000001</v>
      </c>
      <c r="J430" s="4">
        <f>I430/1.18</f>
        <v/>
      </c>
      <c r="K430" s="5" t="n">
        <v>0</v>
      </c>
      <c r="L430" s="5">
        <f>(K430)*F430</f>
        <v/>
      </c>
      <c r="M430" s="4">
        <f>J430-L430</f>
        <v/>
      </c>
      <c r="N430" s="4">
        <f>M430/21</f>
        <v/>
      </c>
      <c r="O430" s="4">
        <f>M430-N430</f>
        <v/>
      </c>
      <c r="P430" s="6">
        <f>O430*1.18</f>
        <v/>
      </c>
    </row>
    <row r="431">
      <c r="A431" s="2" t="n">
        <v>622350229</v>
      </c>
      <c r="B431" s="2" t="inlineStr">
        <is>
          <t>SERVO HYPERSPORT F5 15W-50-20 X 1L PROMO</t>
        </is>
      </c>
      <c r="C431" s="3" t="inlineStr">
        <is>
          <t>CAR</t>
        </is>
      </c>
      <c r="D431" s="3" t="inlineStr">
        <is>
          <t>MCO</t>
        </is>
      </c>
      <c r="E431" s="3" t="n">
        <v>20</v>
      </c>
      <c r="F431" s="3" t="n">
        <v>1</v>
      </c>
      <c r="G431" s="3">
        <f>E431/F431</f>
        <v/>
      </c>
      <c r="H431" s="3" t="n">
        <v>905</v>
      </c>
      <c r="I431" s="4" t="n">
        <v>620.0155000000001</v>
      </c>
      <c r="J431" s="4">
        <f>I431/1.18</f>
        <v/>
      </c>
      <c r="K431" s="5" t="n">
        <v>0</v>
      </c>
      <c r="L431" s="5">
        <f>(K431)*F431</f>
        <v/>
      </c>
      <c r="M431" s="4">
        <f>J431-L431</f>
        <v/>
      </c>
      <c r="N431" s="4">
        <f>M431/21</f>
        <v/>
      </c>
      <c r="O431" s="4">
        <f>M431-N431</f>
        <v/>
      </c>
      <c r="P431" s="6">
        <f>O431*1.18</f>
        <v/>
      </c>
    </row>
    <row r="432">
      <c r="A432" s="2" t="n">
        <v>622350294</v>
      </c>
      <c r="B432" s="2" t="inlineStr">
        <is>
          <t>SERVO HYPERSPORT F5 15W-50-4X2.5 L-PROMO</t>
        </is>
      </c>
      <c r="C432" s="3" t="inlineStr">
        <is>
          <t>CAR</t>
        </is>
      </c>
      <c r="D432" s="3" t="inlineStr">
        <is>
          <t>MCO</t>
        </is>
      </c>
      <c r="E432" s="3" t="n">
        <v>10</v>
      </c>
      <c r="F432" s="3" t="n">
        <v>2.5</v>
      </c>
      <c r="G432" s="3">
        <f>E432/F432</f>
        <v/>
      </c>
      <c r="H432" s="3" t="n">
        <v>2263</v>
      </c>
      <c r="I432" s="4" t="n">
        <v>1549.9287</v>
      </c>
      <c r="J432" s="4">
        <f>I432/1.18</f>
        <v/>
      </c>
      <c r="K432" s="5" t="n">
        <v>0</v>
      </c>
      <c r="L432" s="5">
        <f>(K432)*F432</f>
        <v/>
      </c>
      <c r="M432" s="4">
        <f>J432-L432</f>
        <v/>
      </c>
      <c r="N432" s="4">
        <f>M432/21</f>
        <v/>
      </c>
      <c r="O432" s="4">
        <f>M432-N432</f>
        <v/>
      </c>
      <c r="P432" s="6">
        <f>O432*1.18</f>
        <v/>
      </c>
    </row>
    <row r="433">
      <c r="A433" s="2" t="n">
        <v>622450022</v>
      </c>
      <c r="B433" s="2" t="inlineStr">
        <is>
          <t>SERVO HYPERSPORT F5 20W-50-10X1.2L PROMO</t>
        </is>
      </c>
      <c r="C433" s="3" t="inlineStr">
        <is>
          <t>CAR</t>
        </is>
      </c>
      <c r="D433" s="3" t="inlineStr">
        <is>
          <t>MCO</t>
        </is>
      </c>
      <c r="E433" s="3" t="n">
        <v>12</v>
      </c>
      <c r="F433" s="3" t="n">
        <v>1.2</v>
      </c>
      <c r="G433" s="3">
        <f>E433/F433</f>
        <v/>
      </c>
      <c r="H433" s="3" t="n">
        <v>1072</v>
      </c>
      <c r="I433" s="4" t="n">
        <v>749.9712</v>
      </c>
      <c r="J433" s="4">
        <f>I433/1.18</f>
        <v/>
      </c>
      <c r="K433" s="5" t="n">
        <v>0</v>
      </c>
      <c r="L433" s="5">
        <f>(K433)*F433</f>
        <v/>
      </c>
      <c r="M433" s="4">
        <f>J433-L433</f>
        <v/>
      </c>
      <c r="N433" s="4">
        <f>M433/21</f>
        <v/>
      </c>
      <c r="O433" s="4">
        <f>M433-N433</f>
        <v/>
      </c>
      <c r="P433" s="6">
        <f>O433*1.18</f>
        <v/>
      </c>
    </row>
    <row r="434">
      <c r="A434" s="2" t="n">
        <v>622450229</v>
      </c>
      <c r="B434" s="2" t="inlineStr">
        <is>
          <t>SERVO HYPERSPORT F5 20W-50-20X 1 L PROMO</t>
        </is>
      </c>
      <c r="C434" s="3" t="inlineStr">
        <is>
          <t>CAR</t>
        </is>
      </c>
      <c r="D434" s="3" t="inlineStr">
        <is>
          <t>MCO</t>
        </is>
      </c>
      <c r="E434" s="3" t="n">
        <v>20</v>
      </c>
      <c r="F434" s="3" t="n">
        <v>1</v>
      </c>
      <c r="G434" s="3">
        <f>E434/F434</f>
        <v/>
      </c>
      <c r="H434" s="3" t="n">
        <v>895</v>
      </c>
      <c r="I434" s="4" t="n">
        <v>624.9785000000001</v>
      </c>
      <c r="J434" s="4">
        <f>I434/1.18</f>
        <v/>
      </c>
      <c r="K434" s="5" t="n">
        <v>0</v>
      </c>
      <c r="L434" s="5">
        <f>(K434)*F434</f>
        <v/>
      </c>
      <c r="M434" s="4">
        <f>J434-L434</f>
        <v/>
      </c>
      <c r="N434" s="4">
        <f>M434/21</f>
        <v/>
      </c>
      <c r="O434" s="4">
        <f>M434-N434</f>
        <v/>
      </c>
      <c r="P434" s="6">
        <f>O434*1.18</f>
        <v/>
      </c>
    </row>
    <row r="435">
      <c r="A435" s="2" t="n">
        <v>622450294</v>
      </c>
      <c r="B435" s="2" t="inlineStr">
        <is>
          <t>SERVO HYPERSPORT F5 20W-50-4X2.5 L-PROMO</t>
        </is>
      </c>
      <c r="C435" s="3" t="inlineStr">
        <is>
          <t>CAR</t>
        </is>
      </c>
      <c r="D435" s="3" t="inlineStr">
        <is>
          <t>MCO</t>
        </is>
      </c>
      <c r="E435" s="3" t="n">
        <v>10</v>
      </c>
      <c r="F435" s="3" t="n">
        <v>2.5</v>
      </c>
      <c r="G435" s="3">
        <f>E435/F435</f>
        <v/>
      </c>
      <c r="H435" s="3" t="n">
        <v>2223</v>
      </c>
      <c r="I435" s="4" t="n">
        <v>1562.5467</v>
      </c>
      <c r="J435" s="4">
        <f>I435/1.18</f>
        <v/>
      </c>
      <c r="K435" s="5" t="n">
        <v>0</v>
      </c>
      <c r="L435" s="5">
        <f>(K435)*F435</f>
        <v/>
      </c>
      <c r="M435" s="4">
        <f>J435-L435</f>
        <v/>
      </c>
      <c r="N435" s="4">
        <f>M435/21</f>
        <v/>
      </c>
      <c r="O435" s="4">
        <f>M435-N435</f>
        <v/>
      </c>
      <c r="P435" s="6">
        <f>O435*1.18</f>
        <v/>
      </c>
    </row>
    <row r="436">
      <c r="A436" s="2" t="n">
        <v>632230133</v>
      </c>
      <c r="B436" s="2" t="inlineStr">
        <is>
          <t>SERVO HYPERSPORT SCOOTER10W-30-20X0.8LPR</t>
        </is>
      </c>
      <c r="C436" s="3" t="inlineStr">
        <is>
          <t>CAR</t>
        </is>
      </c>
      <c r="D436" s="3" t="inlineStr">
        <is>
          <t>MCO</t>
        </is>
      </c>
      <c r="E436" s="3" t="n">
        <v>16</v>
      </c>
      <c r="F436" s="3" t="n">
        <v>0.8</v>
      </c>
      <c r="G436" s="3">
        <f>E436/F436</f>
        <v/>
      </c>
      <c r="H436" s="3" t="n">
        <v>651</v>
      </c>
      <c r="I436" s="4" t="n">
        <v>449.9712</v>
      </c>
      <c r="J436" s="4">
        <f>I436/1.18</f>
        <v/>
      </c>
      <c r="K436" s="5" t="n">
        <v>0</v>
      </c>
      <c r="L436" s="5">
        <f>(K436)*F436</f>
        <v/>
      </c>
      <c r="M436" s="4">
        <f>J436-L436</f>
        <v/>
      </c>
      <c r="N436" s="3" t="n"/>
      <c r="O436" s="4">
        <f>M436-N436</f>
        <v/>
      </c>
      <c r="P436" s="6">
        <f>O436*1.18</f>
        <v/>
      </c>
    </row>
    <row r="437">
      <c r="A437" s="2" t="n">
        <v>651130111</v>
      </c>
      <c r="B437" s="2" t="inlineStr">
        <is>
          <t>SERVO HYPERDRIVE 5W-30-4X3.5 L PROMO</t>
        </is>
      </c>
      <c r="C437" s="3" t="inlineStr">
        <is>
          <t>CAR</t>
        </is>
      </c>
      <c r="D437" s="3" t="inlineStr">
        <is>
          <t>PCMO</t>
        </is>
      </c>
      <c r="E437" s="3" t="n">
        <v>14</v>
      </c>
      <c r="F437" s="3" t="n">
        <v>3.5</v>
      </c>
      <c r="G437" s="3">
        <f>E437/F437</f>
        <v/>
      </c>
      <c r="H437" s="3" t="n">
        <v>3063</v>
      </c>
      <c r="I437" s="4" t="n">
        <v>1874.8623</v>
      </c>
      <c r="J437" s="4">
        <f>I437/1.18</f>
        <v/>
      </c>
      <c r="K437" s="5" t="n">
        <v>0</v>
      </c>
      <c r="L437" s="5">
        <f>(K437)*F437</f>
        <v/>
      </c>
      <c r="M437" s="4">
        <f>J437-L437</f>
        <v/>
      </c>
      <c r="N437" s="3" t="n"/>
      <c r="O437" s="4">
        <f>M437-N437</f>
        <v/>
      </c>
      <c r="P437" s="6">
        <f>O437*1.18</f>
        <v/>
      </c>
    </row>
    <row r="438">
      <c r="A438" s="2" t="n">
        <v>651130204</v>
      </c>
      <c r="B438" s="2" t="inlineStr">
        <is>
          <t>SERVO HYPERDRIVE 5W-30-4 X 3 L PROMO</t>
        </is>
      </c>
      <c r="C438" s="3" t="inlineStr">
        <is>
          <t>CAR</t>
        </is>
      </c>
      <c r="D438" s="3" t="inlineStr">
        <is>
          <t>PCMO</t>
        </is>
      </c>
      <c r="E438" s="3" t="n">
        <v>12</v>
      </c>
      <c r="F438" s="3" t="n">
        <v>3</v>
      </c>
      <c r="G438" s="3">
        <f>E438/F438</f>
        <v/>
      </c>
      <c r="H438" s="3" t="n">
        <v>2625</v>
      </c>
      <c r="I438" s="4" t="n">
        <v>1607.2875</v>
      </c>
      <c r="J438" s="4">
        <f>I438/1.18</f>
        <v/>
      </c>
      <c r="K438" s="5" t="n">
        <v>0</v>
      </c>
      <c r="L438" s="5">
        <f>(K438)*F438</f>
        <v/>
      </c>
      <c r="M438" s="4">
        <f>J438-L438</f>
        <v/>
      </c>
      <c r="N438" s="3" t="n"/>
      <c r="O438" s="4">
        <f>M438-N438</f>
        <v/>
      </c>
      <c r="P438" s="6">
        <f>O438*1.18</f>
        <v/>
      </c>
    </row>
    <row r="439">
      <c r="A439" s="2" t="n">
        <v>651130220</v>
      </c>
      <c r="B439" s="2" t="inlineStr">
        <is>
          <t>SERVO HYPERDRIVE 5W-30-4 X 4 L PROMO</t>
        </is>
      </c>
      <c r="C439" s="3" t="inlineStr">
        <is>
          <t>CAR</t>
        </is>
      </c>
      <c r="D439" s="3" t="inlineStr">
        <is>
          <t>PCMO</t>
        </is>
      </c>
      <c r="E439" s="3" t="n">
        <v>16</v>
      </c>
      <c r="F439" s="3" t="n">
        <v>4</v>
      </c>
      <c r="G439" s="3">
        <f>E439/F439</f>
        <v/>
      </c>
      <c r="H439" s="3" t="n">
        <v>3500</v>
      </c>
      <c r="I439" s="4" t="n">
        <v>2142.7</v>
      </c>
      <c r="J439" s="4">
        <f>I439/1.18</f>
        <v/>
      </c>
      <c r="K439" s="5" t="n">
        <v>0</v>
      </c>
      <c r="L439" s="5">
        <f>(K439)*F439</f>
        <v/>
      </c>
      <c r="M439" s="4">
        <f>J439-L439</f>
        <v/>
      </c>
      <c r="N439" s="3" t="n"/>
      <c r="O439" s="4">
        <f>M439-N439</f>
        <v/>
      </c>
      <c r="P439" s="6">
        <f>O439*1.18</f>
        <v/>
      </c>
    </row>
    <row r="440">
      <c r="A440" s="2" t="n">
        <v>651130229</v>
      </c>
      <c r="B440" s="2" t="inlineStr">
        <is>
          <t>SERVO HYPERDRIVE 5W-30-20 X 1 L PROMO</t>
        </is>
      </c>
      <c r="C440" s="3" t="inlineStr">
        <is>
          <t>CAR</t>
        </is>
      </c>
      <c r="D440" s="3" t="inlineStr">
        <is>
          <t>PCMO</t>
        </is>
      </c>
      <c r="E440" s="3" t="n">
        <v>20</v>
      </c>
      <c r="F440" s="3" t="n">
        <v>1</v>
      </c>
      <c r="G440" s="3">
        <f>E440/F440</f>
        <v/>
      </c>
      <c r="H440" s="3" t="n">
        <v>875</v>
      </c>
      <c r="I440" s="4" t="n">
        <v>535.7625</v>
      </c>
      <c r="J440" s="4">
        <f>I440/1.18</f>
        <v/>
      </c>
      <c r="K440" s="5" t="n">
        <v>0</v>
      </c>
      <c r="L440" s="5">
        <f>(K440)*F440</f>
        <v/>
      </c>
      <c r="M440" s="4">
        <f>J440-L440</f>
        <v/>
      </c>
      <c r="N440" s="3" t="n"/>
      <c r="O440" s="4">
        <f>M440-N440</f>
        <v/>
      </c>
      <c r="P440" s="6">
        <f>O440*1.18</f>
        <v/>
      </c>
    </row>
    <row r="441">
      <c r="A441" s="2" t="n">
        <v>652010111</v>
      </c>
      <c r="B441" s="2" t="inlineStr">
        <is>
          <t>SERVO HYPERDRIVE 0W-16-4X3.5 L PROMO</t>
        </is>
      </c>
      <c r="C441" s="3" t="inlineStr">
        <is>
          <t>CAR</t>
        </is>
      </c>
      <c r="D441" s="3" t="inlineStr">
        <is>
          <t>PCMO</t>
        </is>
      </c>
      <c r="E441" s="3" t="n">
        <v>14</v>
      </c>
      <c r="F441" s="3" t="n">
        <v>3.5</v>
      </c>
      <c r="G441" s="3">
        <f>E441/F441</f>
        <v/>
      </c>
      <c r="H441" s="3" t="n">
        <v>3108</v>
      </c>
      <c r="I441" s="4" t="n">
        <v>1913.5956</v>
      </c>
      <c r="J441" s="4">
        <f>I441/1.18</f>
        <v/>
      </c>
      <c r="K441" s="5" t="n">
        <v>0</v>
      </c>
      <c r="L441" s="5">
        <f>(K441)*F441</f>
        <v/>
      </c>
      <c r="M441" s="4">
        <f>J441-L441</f>
        <v/>
      </c>
      <c r="N441" s="3" t="n"/>
      <c r="O441" s="4">
        <f>M441-N441</f>
        <v/>
      </c>
      <c r="P441" s="6">
        <f>O441*1.18</f>
        <v/>
      </c>
    </row>
    <row r="442">
      <c r="A442" s="2" t="n">
        <v>652010204</v>
      </c>
      <c r="B442" s="2" t="inlineStr">
        <is>
          <t>SERVO HYPERDRIVE 0W-16-4 X 3 L PROMO</t>
        </is>
      </c>
      <c r="C442" s="3" t="inlineStr">
        <is>
          <t>CAR</t>
        </is>
      </c>
      <c r="D442" s="3" t="inlineStr">
        <is>
          <t>PCMO</t>
        </is>
      </c>
      <c r="E442" s="3" t="n">
        <v>12</v>
      </c>
      <c r="F442" s="3" t="n">
        <v>3</v>
      </c>
      <c r="G442" s="3">
        <f>E442/F442</f>
        <v/>
      </c>
      <c r="H442" s="3" t="n">
        <v>2664</v>
      </c>
      <c r="I442" s="4" t="n">
        <v>1640.2248</v>
      </c>
      <c r="J442" s="4">
        <f>I442/1.18</f>
        <v/>
      </c>
      <c r="K442" s="5" t="n">
        <v>0</v>
      </c>
      <c r="L442" s="5">
        <f>(K442)*F442</f>
        <v/>
      </c>
      <c r="M442" s="4">
        <f>J442-L442</f>
        <v/>
      </c>
      <c r="N442" s="3" t="n"/>
      <c r="O442" s="4">
        <f>M442-N442</f>
        <v/>
      </c>
      <c r="P442" s="6">
        <f>O442*1.18</f>
        <v/>
      </c>
    </row>
    <row r="443">
      <c r="A443" s="2" t="n">
        <v>652010220</v>
      </c>
      <c r="B443" s="2" t="inlineStr">
        <is>
          <t>SERVO HYPERDRIVE 0W-16-4 X 4 L PROMO</t>
        </is>
      </c>
      <c r="C443" s="3" t="inlineStr">
        <is>
          <t>CAR</t>
        </is>
      </c>
      <c r="D443" s="3" t="inlineStr">
        <is>
          <t>PCMO</t>
        </is>
      </c>
      <c r="E443" s="3" t="n">
        <v>16</v>
      </c>
      <c r="F443" s="3" t="n">
        <v>4</v>
      </c>
      <c r="G443" s="3">
        <f>E443/F443</f>
        <v/>
      </c>
      <c r="H443" s="3" t="n">
        <v>3552</v>
      </c>
      <c r="I443" s="4" t="n">
        <v>2186.9664</v>
      </c>
      <c r="J443" s="4">
        <f>I443/1.18</f>
        <v/>
      </c>
      <c r="K443" s="5" t="n">
        <v>0</v>
      </c>
      <c r="L443" s="5">
        <f>(K443)*F443</f>
        <v/>
      </c>
      <c r="M443" s="4">
        <f>J443-L443</f>
        <v/>
      </c>
      <c r="N443" s="3" t="n"/>
      <c r="O443" s="4">
        <f>M443-N443</f>
        <v/>
      </c>
      <c r="P443" s="6">
        <f>O443*1.18</f>
        <v/>
      </c>
    </row>
    <row r="444">
      <c r="A444" s="2" t="n">
        <v>652010229</v>
      </c>
      <c r="B444" s="2" t="inlineStr">
        <is>
          <t>SERVO HYPERDRIVE 0W-16-20 X 1 L PROMO</t>
        </is>
      </c>
      <c r="C444" s="3" t="inlineStr">
        <is>
          <t>CAR</t>
        </is>
      </c>
      <c r="D444" s="3" t="inlineStr">
        <is>
          <t>PCMO</t>
        </is>
      </c>
      <c r="E444" s="3" t="n">
        <v>20</v>
      </c>
      <c r="F444" s="3" t="n">
        <v>1</v>
      </c>
      <c r="G444" s="3">
        <f>E444/F444</f>
        <v/>
      </c>
      <c r="H444" s="3" t="n">
        <v>888</v>
      </c>
      <c r="I444" s="4" t="n">
        <v>546.7416000000001</v>
      </c>
      <c r="J444" s="4">
        <f>I444/1.18</f>
        <v/>
      </c>
      <c r="K444" s="5" t="n">
        <v>0</v>
      </c>
      <c r="L444" s="5">
        <f>(K444)*F444</f>
        <v/>
      </c>
      <c r="M444" s="4">
        <f>J444-L444</f>
        <v/>
      </c>
      <c r="N444" s="3" t="n"/>
      <c r="O444" s="4">
        <f>M444-N444</f>
        <v/>
      </c>
      <c r="P444" s="6">
        <f>O444*1.18</f>
        <v/>
      </c>
    </row>
    <row r="445">
      <c r="A445" s="2" t="n">
        <v>652020111</v>
      </c>
      <c r="B445" s="2" t="inlineStr">
        <is>
          <t>SERVO HYPERDRIVE 0W-20-4X3.5 L PROMO</t>
        </is>
      </c>
      <c r="C445" s="3" t="inlineStr">
        <is>
          <t>CAR</t>
        </is>
      </c>
      <c r="D445" s="3" t="inlineStr">
        <is>
          <t>PCMO</t>
        </is>
      </c>
      <c r="E445" s="3" t="n">
        <v>14</v>
      </c>
      <c r="F445" s="3" t="n">
        <v>3.5</v>
      </c>
      <c r="G445" s="3">
        <f>E445/F445</f>
        <v/>
      </c>
      <c r="H445" s="3" t="n">
        <v>3350</v>
      </c>
      <c r="I445" s="4" t="n">
        <v>1960.085</v>
      </c>
      <c r="J445" s="4">
        <f>I445/1.18</f>
        <v/>
      </c>
      <c r="K445" s="5" t="n">
        <v>0</v>
      </c>
      <c r="L445" s="5">
        <f>(K445)*F445</f>
        <v/>
      </c>
      <c r="M445" s="4">
        <f>J445-L445</f>
        <v/>
      </c>
      <c r="N445" s="3" t="n"/>
      <c r="O445" s="4">
        <f>M445-N445</f>
        <v/>
      </c>
      <c r="P445" s="6">
        <f>O445*1.18</f>
        <v/>
      </c>
    </row>
    <row r="446">
      <c r="A446" s="2" t="n">
        <v>652020204</v>
      </c>
      <c r="B446" s="2" t="inlineStr">
        <is>
          <t>SERVO HYPERDRIVE 0W-20-4 X 3 L PROMO</t>
        </is>
      </c>
      <c r="C446" s="3" t="inlineStr">
        <is>
          <t>CAR</t>
        </is>
      </c>
      <c r="D446" s="3" t="inlineStr">
        <is>
          <t>PCMO</t>
        </is>
      </c>
      <c r="E446" s="3" t="n">
        <v>12</v>
      </c>
      <c r="F446" s="3" t="n">
        <v>3</v>
      </c>
      <c r="G446" s="3">
        <f>E446/F446</f>
        <v/>
      </c>
      <c r="H446" s="3" t="n">
        <v>2871</v>
      </c>
      <c r="I446" s="4" t="n">
        <v>1680.1092</v>
      </c>
      <c r="J446" s="4">
        <f>I446/1.18</f>
        <v/>
      </c>
      <c r="K446" s="5" t="n">
        <v>0</v>
      </c>
      <c r="L446" s="5">
        <f>(K446)*F446</f>
        <v/>
      </c>
      <c r="M446" s="4">
        <f>J446-L446</f>
        <v/>
      </c>
      <c r="N446" s="3" t="n"/>
      <c r="O446" s="4">
        <f>M446-N446</f>
        <v/>
      </c>
      <c r="P446" s="6">
        <f>O446*1.18</f>
        <v/>
      </c>
    </row>
    <row r="447">
      <c r="A447" s="2" t="n">
        <v>652020220</v>
      </c>
      <c r="B447" s="2" t="inlineStr">
        <is>
          <t>SERVO HYPERDRIVE 0W-20-4 X 4 L PROMO</t>
        </is>
      </c>
      <c r="C447" s="3" t="inlineStr">
        <is>
          <t>CAR</t>
        </is>
      </c>
      <c r="D447" s="3" t="inlineStr">
        <is>
          <t>PCMO</t>
        </is>
      </c>
      <c r="E447" s="3" t="n">
        <v>16</v>
      </c>
      <c r="F447" s="3" t="n">
        <v>4</v>
      </c>
      <c r="G447" s="3">
        <f>E447/F447</f>
        <v/>
      </c>
      <c r="H447" s="3" t="n">
        <v>3828</v>
      </c>
      <c r="I447" s="4" t="n">
        <v>2240.1456</v>
      </c>
      <c r="J447" s="4">
        <f>I447/1.18</f>
        <v/>
      </c>
      <c r="K447" s="5" t="n">
        <v>0</v>
      </c>
      <c r="L447" s="5">
        <f>(K447)*F447</f>
        <v/>
      </c>
      <c r="M447" s="4">
        <f>J447-L447</f>
        <v/>
      </c>
      <c r="N447" s="3" t="n"/>
      <c r="O447" s="4">
        <f>M447-N447</f>
        <v/>
      </c>
      <c r="P447" s="6">
        <f>O447*1.18</f>
        <v/>
      </c>
    </row>
    <row r="448">
      <c r="A448" s="2" t="n">
        <v>652020229</v>
      </c>
      <c r="B448" s="2" t="inlineStr">
        <is>
          <t>SERVO HYPERDRIVE 0W-20-20 X 1 L PROMO</t>
        </is>
      </c>
      <c r="C448" s="3" t="inlineStr">
        <is>
          <t>CAR</t>
        </is>
      </c>
      <c r="D448" s="3" t="inlineStr">
        <is>
          <t>PCMO</t>
        </is>
      </c>
      <c r="E448" s="3" t="n">
        <v>20</v>
      </c>
      <c r="F448" s="3" t="n">
        <v>1</v>
      </c>
      <c r="G448" s="3">
        <f>E448/F448</f>
        <v/>
      </c>
      <c r="H448" s="3" t="n">
        <v>957</v>
      </c>
      <c r="I448" s="4" t="n">
        <v>560.0364</v>
      </c>
      <c r="J448" s="4">
        <f>I448/1.18</f>
        <v/>
      </c>
      <c r="K448" s="5" t="n">
        <v>0</v>
      </c>
      <c r="L448" s="5">
        <f>(K448)*F448</f>
        <v/>
      </c>
      <c r="M448" s="4">
        <f>J448-L448</f>
        <v/>
      </c>
      <c r="N448" s="3" t="n"/>
      <c r="O448" s="4">
        <f>M448-N448</f>
        <v/>
      </c>
      <c r="P448" s="6">
        <f>O448*1.18</f>
        <v/>
      </c>
    </row>
    <row r="449">
      <c r="A449" s="2" t="n">
        <v>652150111</v>
      </c>
      <c r="B449" s="2" t="inlineStr">
        <is>
          <t>SERVO HYPERDRIVE 5W-50-4X3.5 L PROMO</t>
        </is>
      </c>
      <c r="C449" s="3" t="inlineStr">
        <is>
          <t>CAR</t>
        </is>
      </c>
      <c r="D449" s="3" t="inlineStr">
        <is>
          <t>PCMO</t>
        </is>
      </c>
      <c r="E449" s="3" t="n">
        <v>14</v>
      </c>
      <c r="F449" s="3" t="n">
        <v>3.5</v>
      </c>
      <c r="G449" s="3">
        <f>E449/F449</f>
        <v/>
      </c>
      <c r="H449" s="3" t="n">
        <v>3570</v>
      </c>
      <c r="I449" s="4" t="n">
        <v>2137.002</v>
      </c>
      <c r="J449" s="4">
        <f>I449/1.18</f>
        <v/>
      </c>
      <c r="K449" s="5" t="n">
        <v>0</v>
      </c>
      <c r="L449" s="5">
        <f>(K449)*F449</f>
        <v/>
      </c>
      <c r="M449" s="4">
        <f>J449-L449</f>
        <v/>
      </c>
      <c r="N449" s="3" t="n"/>
      <c r="O449" s="4">
        <f>M449-N449</f>
        <v/>
      </c>
      <c r="P449" s="6">
        <f>O449*1.18</f>
        <v/>
      </c>
    </row>
    <row r="450">
      <c r="A450" s="2" t="n">
        <v>652150204</v>
      </c>
      <c r="B450" s="2" t="inlineStr">
        <is>
          <t>SERVO HYPERDRIVE 5W-50-4 X 3 L PROMO</t>
        </is>
      </c>
      <c r="C450" s="3" t="inlineStr">
        <is>
          <t>CAR</t>
        </is>
      </c>
      <c r="D450" s="3" t="inlineStr">
        <is>
          <t>PCMO</t>
        </is>
      </c>
      <c r="E450" s="3" t="n">
        <v>12</v>
      </c>
      <c r="F450" s="3" t="n">
        <v>3</v>
      </c>
      <c r="G450" s="3">
        <f>E450/F450</f>
        <v/>
      </c>
      <c r="H450" s="3" t="n">
        <v>3060</v>
      </c>
      <c r="I450" s="4" t="n">
        <v>1831.716</v>
      </c>
      <c r="J450" s="4">
        <f>I450/1.18</f>
        <v/>
      </c>
      <c r="K450" s="5" t="n">
        <v>0</v>
      </c>
      <c r="L450" s="5">
        <f>(K450)*F450</f>
        <v/>
      </c>
      <c r="M450" s="4">
        <f>J450-L450</f>
        <v/>
      </c>
      <c r="N450" s="3" t="n"/>
      <c r="O450" s="4">
        <f>M450-N450</f>
        <v/>
      </c>
      <c r="P450" s="6">
        <f>O450*1.18</f>
        <v/>
      </c>
    </row>
    <row r="451">
      <c r="A451" s="2" t="n">
        <v>652150220</v>
      </c>
      <c r="B451" s="2" t="inlineStr">
        <is>
          <t>SERVO HYPERDRIVE 5W-50-4 X 4 L PROMO</t>
        </is>
      </c>
      <c r="C451" s="3" t="inlineStr">
        <is>
          <t>CAR</t>
        </is>
      </c>
      <c r="D451" s="3" t="inlineStr">
        <is>
          <t>PCMO</t>
        </is>
      </c>
      <c r="E451" s="3" t="n">
        <v>16</v>
      </c>
      <c r="F451" s="3" t="n">
        <v>4</v>
      </c>
      <c r="G451" s="3">
        <f>E451/F451</f>
        <v/>
      </c>
      <c r="H451" s="3" t="n">
        <v>4080</v>
      </c>
      <c r="I451" s="4" t="n">
        <v>2442.288</v>
      </c>
      <c r="J451" s="4">
        <f>I451/1.18</f>
        <v/>
      </c>
      <c r="K451" s="5" t="n">
        <v>0</v>
      </c>
      <c r="L451" s="5">
        <f>(K451)*F451</f>
        <v/>
      </c>
      <c r="M451" s="4">
        <f>J451-L451</f>
        <v/>
      </c>
      <c r="N451" s="3" t="n"/>
      <c r="O451" s="4">
        <f>M451-N451</f>
        <v/>
      </c>
      <c r="P451" s="6">
        <f>O451*1.18</f>
        <v/>
      </c>
    </row>
    <row r="452">
      <c r="A452" s="2" t="n">
        <v>652150229</v>
      </c>
      <c r="B452" s="2" t="inlineStr">
        <is>
          <t>SERVO HYPERDRIVE 5W-50-20 X 1 L PROMO</t>
        </is>
      </c>
      <c r="C452" s="3" t="inlineStr">
        <is>
          <t>CAR</t>
        </is>
      </c>
      <c r="D452" s="3" t="inlineStr">
        <is>
          <t>PCMO</t>
        </is>
      </c>
      <c r="E452" s="3" t="n">
        <v>20</v>
      </c>
      <c r="F452" s="3" t="n">
        <v>1</v>
      </c>
      <c r="G452" s="3">
        <f>E452/F452</f>
        <v/>
      </c>
      <c r="H452" s="3" t="n">
        <v>1020</v>
      </c>
      <c r="I452" s="4" t="n">
        <v>610.572</v>
      </c>
      <c r="J452" s="4">
        <f>I452/1.18</f>
        <v/>
      </c>
      <c r="K452" s="5" t="n">
        <v>0</v>
      </c>
      <c r="L452" s="5">
        <f>(K452)*F452</f>
        <v/>
      </c>
      <c r="M452" s="4">
        <f>J452-L452</f>
        <v/>
      </c>
      <c r="N452" s="3" t="n"/>
      <c r="O452" s="4">
        <f>M452-N452</f>
        <v/>
      </c>
      <c r="P452" s="6">
        <f>O452*1.18</f>
        <v/>
      </c>
    </row>
    <row r="453">
      <c r="A453" s="2" t="n">
        <v>662010111</v>
      </c>
      <c r="B453" s="2" t="inlineStr">
        <is>
          <t>SERVO HYPERDRIVE NXT 0W-16-4X3.5 L PROMO</t>
        </is>
      </c>
      <c r="C453" s="3" t="inlineStr">
        <is>
          <t>CAR</t>
        </is>
      </c>
      <c r="D453" s="3" t="inlineStr">
        <is>
          <t>PCMO</t>
        </is>
      </c>
      <c r="E453" s="3" t="n">
        <v>14</v>
      </c>
      <c r="F453" s="3" t="n">
        <v>3.5</v>
      </c>
      <c r="G453" s="3">
        <f>E453/F453</f>
        <v/>
      </c>
      <c r="H453" s="3" t="n">
        <v>3717</v>
      </c>
      <c r="I453" s="4" t="n">
        <v>2509.3467</v>
      </c>
      <c r="J453" s="4">
        <f>I453/1.18</f>
        <v/>
      </c>
      <c r="K453" s="5" t="n">
        <v>0</v>
      </c>
      <c r="L453" s="5">
        <f>(K453)*F453</f>
        <v/>
      </c>
      <c r="M453" s="4">
        <f>J453-L453</f>
        <v/>
      </c>
      <c r="N453" s="3" t="n"/>
      <c r="O453" s="4">
        <f>M453-N453</f>
        <v/>
      </c>
      <c r="P453" s="6">
        <f>O453*1.18</f>
        <v/>
      </c>
    </row>
    <row r="454">
      <c r="A454" s="2" t="n">
        <v>662010204</v>
      </c>
      <c r="B454" s="2" t="inlineStr">
        <is>
          <t>SERVO HYPERDRIVE NXT 0W-16-4 X 3 L PROMO</t>
        </is>
      </c>
      <c r="C454" s="3" t="inlineStr">
        <is>
          <t>CAR</t>
        </is>
      </c>
      <c r="D454" s="3" t="inlineStr">
        <is>
          <t>PCMO</t>
        </is>
      </c>
      <c r="E454" s="3" t="n">
        <v>12</v>
      </c>
      <c r="F454" s="3" t="n">
        <v>3</v>
      </c>
      <c r="G454" s="3">
        <f>E454/F454</f>
        <v/>
      </c>
      <c r="H454" s="3" t="n">
        <v>3186</v>
      </c>
      <c r="I454" s="4" t="n">
        <v>2150.8686</v>
      </c>
      <c r="J454" s="4">
        <f>I454/1.18</f>
        <v/>
      </c>
      <c r="K454" s="5" t="n">
        <v>0</v>
      </c>
      <c r="L454" s="5">
        <f>(K454)*F454</f>
        <v/>
      </c>
      <c r="M454" s="4">
        <f>J454-L454</f>
        <v/>
      </c>
      <c r="N454" s="3" t="n"/>
      <c r="O454" s="4">
        <f>M454-N454</f>
        <v/>
      </c>
      <c r="P454" s="6">
        <f>O454*1.18</f>
        <v/>
      </c>
    </row>
    <row r="455">
      <c r="A455" s="2" t="n">
        <v>662010220</v>
      </c>
      <c r="B455" s="2" t="inlineStr">
        <is>
          <t>SERVO HYPERDRIVE NXT 0W-16-4 X 4 L PROMO</t>
        </is>
      </c>
      <c r="C455" s="3" t="inlineStr">
        <is>
          <t>CAR</t>
        </is>
      </c>
      <c r="D455" s="3" t="inlineStr">
        <is>
          <t>PCMO</t>
        </is>
      </c>
      <c r="E455" s="3" t="n">
        <v>16</v>
      </c>
      <c r="F455" s="3" t="n">
        <v>4</v>
      </c>
      <c r="G455" s="3">
        <f>E455/F455</f>
        <v/>
      </c>
      <c r="H455" s="3" t="n">
        <v>4248</v>
      </c>
      <c r="I455" s="4" t="n">
        <v>2867.8248</v>
      </c>
      <c r="J455" s="4">
        <f>I455/1.18</f>
        <v/>
      </c>
      <c r="K455" s="5" t="n">
        <v>0</v>
      </c>
      <c r="L455" s="5">
        <f>(K455)*F455</f>
        <v/>
      </c>
      <c r="M455" s="4">
        <f>J455-L455</f>
        <v/>
      </c>
      <c r="N455" s="3" t="n"/>
      <c r="O455" s="4">
        <f>M455-N455</f>
        <v/>
      </c>
      <c r="P455" s="6">
        <f>O455*1.18</f>
        <v/>
      </c>
    </row>
    <row r="456">
      <c r="A456" s="2" t="n">
        <v>662010229</v>
      </c>
      <c r="B456" s="2" t="inlineStr">
        <is>
          <t>SERVO HYPERDRIVE NXT 0W-16-20 X1 L PROMO</t>
        </is>
      </c>
      <c r="C456" s="3" t="inlineStr">
        <is>
          <t>CAR</t>
        </is>
      </c>
      <c r="D456" s="3" t="inlineStr">
        <is>
          <t>PCMO</t>
        </is>
      </c>
      <c r="E456" s="3" t="n">
        <v>20</v>
      </c>
      <c r="F456" s="3" t="n">
        <v>1</v>
      </c>
      <c r="G456" s="3">
        <f>E456/F456</f>
        <v/>
      </c>
      <c r="H456" s="3" t="n">
        <v>1062</v>
      </c>
      <c r="I456" s="4" t="n">
        <v>716.9562000000001</v>
      </c>
      <c r="J456" s="4">
        <f>I456/1.18</f>
        <v/>
      </c>
      <c r="K456" s="5" t="n">
        <v>0</v>
      </c>
      <c r="L456" s="5">
        <f>(K456)*F456</f>
        <v/>
      </c>
      <c r="M456" s="4">
        <f>J456-L456</f>
        <v/>
      </c>
      <c r="N456" s="3" t="n"/>
      <c r="O456" s="4">
        <f>M456-N456</f>
        <v/>
      </c>
      <c r="P456" s="6">
        <f>O456*1.18</f>
        <v/>
      </c>
    </row>
    <row r="457">
      <c r="A457" s="2" t="n">
        <v>662010240</v>
      </c>
      <c r="B457" s="2" t="inlineStr">
        <is>
          <t>SERVO HYPERDRIVE NXT 0W-16-4 X 5 L PROMO</t>
        </is>
      </c>
      <c r="C457" s="3" t="inlineStr">
        <is>
          <t>CAR</t>
        </is>
      </c>
      <c r="D457" s="3" t="inlineStr">
        <is>
          <t>PCMO</t>
        </is>
      </c>
      <c r="E457" s="3" t="n">
        <v>20</v>
      </c>
      <c r="F457" s="3" t="n">
        <v>5</v>
      </c>
      <c r="G457" s="3">
        <f>E457/F457</f>
        <v/>
      </c>
      <c r="H457" s="3" t="n">
        <v>5310</v>
      </c>
      <c r="I457" s="4" t="n">
        <v>3584.781</v>
      </c>
      <c r="J457" s="4">
        <f>I457/1.18</f>
        <v/>
      </c>
      <c r="K457" s="5" t="n">
        <v>0</v>
      </c>
      <c r="L457" s="5">
        <f>(K457)*F457</f>
        <v/>
      </c>
      <c r="M457" s="4">
        <f>J457-L457</f>
        <v/>
      </c>
      <c r="N457" s="3" t="n"/>
      <c r="O457" s="4">
        <f>M457-N457</f>
        <v/>
      </c>
      <c r="P457" s="6">
        <f>O457*1.18</f>
        <v/>
      </c>
    </row>
    <row r="458">
      <c r="A458" s="2" t="n">
        <v>662040111</v>
      </c>
      <c r="B458" s="2" t="inlineStr">
        <is>
          <t>SERVO HYPERDRIVE NXT 0W-40-4X3.5 L PROMO</t>
        </is>
      </c>
      <c r="C458" s="3" t="inlineStr">
        <is>
          <t>CAR</t>
        </is>
      </c>
      <c r="D458" s="3" t="inlineStr">
        <is>
          <t>PCMO</t>
        </is>
      </c>
      <c r="E458" s="3" t="n">
        <v>14</v>
      </c>
      <c r="F458" s="3" t="n">
        <v>3.5</v>
      </c>
      <c r="G458" s="3">
        <f>E458/F458</f>
        <v/>
      </c>
      <c r="H458" s="3" t="n">
        <v>4060</v>
      </c>
      <c r="I458" s="4" t="n">
        <v>2729.944</v>
      </c>
      <c r="J458" s="4">
        <f>I458/1.18</f>
        <v/>
      </c>
      <c r="K458" s="5" t="n">
        <v>0</v>
      </c>
      <c r="L458" s="5">
        <f>(K458)*F458</f>
        <v/>
      </c>
      <c r="M458" s="4">
        <f>J458-L458</f>
        <v/>
      </c>
      <c r="N458" s="3" t="n"/>
      <c r="O458" s="4">
        <f>M458-N458</f>
        <v/>
      </c>
      <c r="P458" s="6">
        <f>O458*1.18</f>
        <v/>
      </c>
    </row>
    <row r="459">
      <c r="A459" s="2" t="n">
        <v>662040204</v>
      </c>
      <c r="B459" s="2" t="inlineStr">
        <is>
          <t>SERVO HYPERDRIVE NXT 0W-40-4 X 3 L PROMO</t>
        </is>
      </c>
      <c r="C459" s="3" t="inlineStr">
        <is>
          <t>CAR</t>
        </is>
      </c>
      <c r="D459" s="3" t="inlineStr">
        <is>
          <t>PCMO</t>
        </is>
      </c>
      <c r="E459" s="3" t="n">
        <v>12</v>
      </c>
      <c r="F459" s="3" t="n">
        <v>3</v>
      </c>
      <c r="G459" s="3">
        <f>E459/F459</f>
        <v/>
      </c>
      <c r="H459" s="3" t="n">
        <v>3480</v>
      </c>
      <c r="I459" s="4" t="n">
        <v>2339.952</v>
      </c>
      <c r="J459" s="4">
        <f>I459/1.18</f>
        <v/>
      </c>
      <c r="K459" s="5" t="n">
        <v>0</v>
      </c>
      <c r="L459" s="5">
        <f>(K459)*F459</f>
        <v/>
      </c>
      <c r="M459" s="4">
        <f>J459-L459</f>
        <v/>
      </c>
      <c r="N459" s="3" t="n"/>
      <c r="O459" s="4">
        <f>M459-N459</f>
        <v/>
      </c>
      <c r="P459" s="6">
        <f>O459*1.18</f>
        <v/>
      </c>
    </row>
    <row r="460">
      <c r="A460" s="2" t="n">
        <v>662040220</v>
      </c>
      <c r="B460" s="2" t="inlineStr">
        <is>
          <t>SERVO HYPERDRIVE NXT 0W-40-4 X 4 L PROMO</t>
        </is>
      </c>
      <c r="C460" s="3" t="inlineStr">
        <is>
          <t>CAR</t>
        </is>
      </c>
      <c r="D460" s="3" t="inlineStr">
        <is>
          <t>PCMO</t>
        </is>
      </c>
      <c r="E460" s="3" t="n">
        <v>16</v>
      </c>
      <c r="F460" s="3" t="n">
        <v>4</v>
      </c>
      <c r="G460" s="3">
        <f>E460/F460</f>
        <v/>
      </c>
      <c r="H460" s="3" t="n">
        <v>4640</v>
      </c>
      <c r="I460" s="4" t="n">
        <v>3119.936</v>
      </c>
      <c r="J460" s="4">
        <f>I460/1.18</f>
        <v/>
      </c>
      <c r="K460" s="5" t="n">
        <v>0</v>
      </c>
      <c r="L460" s="5">
        <f>(K460)*F460</f>
        <v/>
      </c>
      <c r="M460" s="4">
        <f>J460-L460</f>
        <v/>
      </c>
      <c r="N460" s="3" t="n"/>
      <c r="O460" s="4">
        <f>M460-N460</f>
        <v/>
      </c>
      <c r="P460" s="6">
        <f>O460*1.18</f>
        <v/>
      </c>
    </row>
    <row r="461">
      <c r="A461" s="2" t="n">
        <v>662040229</v>
      </c>
      <c r="B461" s="2" t="inlineStr">
        <is>
          <t>SERVO HYPRDRIVE NXT 0W-40-20 X 1 L PROMO</t>
        </is>
      </c>
      <c r="C461" s="3" t="inlineStr">
        <is>
          <t>CAR</t>
        </is>
      </c>
      <c r="D461" s="3" t="inlineStr">
        <is>
          <t>PCMO</t>
        </is>
      </c>
      <c r="E461" s="3" t="n">
        <v>20</v>
      </c>
      <c r="F461" s="3" t="n">
        <v>1</v>
      </c>
      <c r="G461" s="3">
        <f>E461/F461</f>
        <v/>
      </c>
      <c r="H461" s="3" t="n">
        <v>1160</v>
      </c>
      <c r="I461" s="4" t="n">
        <v>779.9839999999999</v>
      </c>
      <c r="J461" s="4">
        <f>I461/1.18</f>
        <v/>
      </c>
      <c r="K461" s="5" t="n">
        <v>0</v>
      </c>
      <c r="L461" s="5">
        <f>(K461)*F461</f>
        <v/>
      </c>
      <c r="M461" s="4">
        <f>J461-L461</f>
        <v/>
      </c>
      <c r="N461" s="3" t="n"/>
      <c r="O461" s="4">
        <f>M461-N461</f>
        <v/>
      </c>
      <c r="P461" s="6">
        <f>O461*1.18</f>
        <v/>
      </c>
    </row>
    <row r="462">
      <c r="A462" s="2" t="n">
        <v>662040240</v>
      </c>
      <c r="B462" s="2" t="inlineStr">
        <is>
          <t>SERVO HYPERDRIVE NXT 0W-40-4 X 5 L PROMO</t>
        </is>
      </c>
      <c r="C462" s="3" t="inlineStr">
        <is>
          <t>CAR</t>
        </is>
      </c>
      <c r="D462" s="3" t="inlineStr">
        <is>
          <t>PCMO</t>
        </is>
      </c>
      <c r="E462" s="3" t="n">
        <v>20</v>
      </c>
      <c r="F462" s="3" t="n">
        <v>5</v>
      </c>
      <c r="G462" s="3">
        <f>E462/F462</f>
        <v/>
      </c>
      <c r="H462" s="3" t="n">
        <v>5800</v>
      </c>
      <c r="I462" s="4" t="n">
        <v>3899.92</v>
      </c>
      <c r="J462" s="4">
        <f>I462/1.18</f>
        <v/>
      </c>
      <c r="K462" s="5" t="n">
        <v>0</v>
      </c>
      <c r="L462" s="5">
        <f>(K462)*F462</f>
        <v/>
      </c>
      <c r="M462" s="4">
        <f>J462-L462</f>
        <v/>
      </c>
      <c r="N462" s="3" t="n"/>
      <c r="O462" s="4">
        <f>M462-N462</f>
        <v/>
      </c>
      <c r="P462" s="6">
        <f>O462*1.18</f>
        <v/>
      </c>
    </row>
    <row r="463">
      <c r="A463" s="2" t="n">
        <v>662240111</v>
      </c>
      <c r="B463" s="2" t="inlineStr">
        <is>
          <t>SERVO HYPERDRIVE NXT 10W-40-4X3.5L PROMO</t>
        </is>
      </c>
      <c r="C463" s="3" t="inlineStr">
        <is>
          <t>CAR</t>
        </is>
      </c>
      <c r="D463" s="3" t="inlineStr">
        <is>
          <t>PCMO</t>
        </is>
      </c>
      <c r="E463" s="3" t="n">
        <v>14</v>
      </c>
      <c r="F463" s="3" t="n">
        <v>3.5</v>
      </c>
      <c r="G463" s="3">
        <f>E463/F463</f>
        <v/>
      </c>
      <c r="H463" s="3" t="n">
        <v>3977</v>
      </c>
      <c r="I463" s="4" t="n">
        <v>2697.9968</v>
      </c>
      <c r="J463" s="4">
        <f>I463/1.18</f>
        <v/>
      </c>
      <c r="K463" s="5" t="n">
        <v>0</v>
      </c>
      <c r="L463" s="5">
        <f>(K463)*F463</f>
        <v/>
      </c>
      <c r="M463" s="4">
        <f>J463-L463</f>
        <v/>
      </c>
      <c r="N463" s="3" t="n"/>
      <c r="O463" s="4">
        <f>M463-N463</f>
        <v/>
      </c>
      <c r="P463" s="6">
        <f>O463*1.18</f>
        <v/>
      </c>
    </row>
    <row r="464">
      <c r="A464" s="2" t="n">
        <v>662240204</v>
      </c>
      <c r="B464" s="2" t="inlineStr">
        <is>
          <t>SERVO HYPE NXT10W-40-4 X 3 L PROMO</t>
        </is>
      </c>
      <c r="C464" s="3" t="inlineStr">
        <is>
          <t>CAR</t>
        </is>
      </c>
      <c r="D464" s="3" t="inlineStr">
        <is>
          <t>PCMO</t>
        </is>
      </c>
      <c r="E464" s="3" t="n">
        <v>12</v>
      </c>
      <c r="F464" s="3" t="n">
        <v>3</v>
      </c>
      <c r="G464" s="3">
        <f>E464/F464</f>
        <v/>
      </c>
      <c r="H464" s="3" t="n">
        <v>3409</v>
      </c>
      <c r="I464" s="4" t="n">
        <v>2312.6656</v>
      </c>
      <c r="J464" s="4">
        <f>I464/1.18</f>
        <v/>
      </c>
      <c r="K464" s="5" t="n">
        <v>0</v>
      </c>
      <c r="L464" s="5">
        <f>(K464)*F464</f>
        <v/>
      </c>
      <c r="M464" s="4">
        <f>J464-L464</f>
        <v/>
      </c>
      <c r="N464" s="3" t="n"/>
      <c r="O464" s="4">
        <f>M464-N464</f>
        <v/>
      </c>
      <c r="P464" s="6">
        <f>O464*1.18</f>
        <v/>
      </c>
    </row>
    <row r="465">
      <c r="A465" s="2" t="n">
        <v>662240220</v>
      </c>
      <c r="B465" s="2" t="inlineStr">
        <is>
          <t>SERVO HYPERDRIVE NXT 10W-40-4X 4 L PROMO</t>
        </is>
      </c>
      <c r="C465" s="3" t="inlineStr">
        <is>
          <t>CAR</t>
        </is>
      </c>
      <c r="D465" s="3" t="inlineStr">
        <is>
          <t>PCMO</t>
        </is>
      </c>
      <c r="E465" s="3" t="n">
        <v>16</v>
      </c>
      <c r="F465" s="3" t="n">
        <v>4</v>
      </c>
      <c r="G465" s="3">
        <f>E465/F465</f>
        <v/>
      </c>
      <c r="H465" s="3" t="n">
        <v>4545</v>
      </c>
      <c r="I465" s="4" t="n">
        <v>3083.328</v>
      </c>
      <c r="J465" s="4">
        <f>I465/1.18</f>
        <v/>
      </c>
      <c r="K465" s="5" t="n">
        <v>0</v>
      </c>
      <c r="L465" s="5">
        <f>(K465)*F465</f>
        <v/>
      </c>
      <c r="M465" s="4">
        <f>J465-L465</f>
        <v/>
      </c>
      <c r="N465" s="3" t="n"/>
      <c r="O465" s="4">
        <f>M465-N465</f>
        <v/>
      </c>
      <c r="P465" s="6">
        <f>O465*1.18</f>
        <v/>
      </c>
    </row>
    <row r="466">
      <c r="A466" s="2" t="n">
        <v>662240229</v>
      </c>
      <c r="B466" s="2" t="inlineStr">
        <is>
          <t>SERVO HYPERDRIVE NXT 10W-40-20X1 L PROMO</t>
        </is>
      </c>
      <c r="C466" s="3" t="inlineStr">
        <is>
          <t>CAR</t>
        </is>
      </c>
      <c r="D466" s="3" t="inlineStr">
        <is>
          <t>PCMO</t>
        </is>
      </c>
      <c r="E466" s="3" t="n">
        <v>20</v>
      </c>
      <c r="F466" s="3" t="n">
        <v>1</v>
      </c>
      <c r="G466" s="3">
        <f>E466/F466</f>
        <v/>
      </c>
      <c r="H466" s="3" t="n">
        <v>1136</v>
      </c>
      <c r="I466" s="4" t="n">
        <v>770.8896000000001</v>
      </c>
      <c r="J466" s="4">
        <f>I466/1.18</f>
        <v/>
      </c>
      <c r="K466" s="5" t="n">
        <v>0</v>
      </c>
      <c r="L466" s="5">
        <f>(K466)*F466</f>
        <v/>
      </c>
      <c r="M466" s="4">
        <f>J466-L466</f>
        <v/>
      </c>
      <c r="N466" s="3" t="n"/>
      <c r="O466" s="4">
        <f>M466-N466</f>
        <v/>
      </c>
      <c r="P466" s="6">
        <f>O466*1.18</f>
        <v/>
      </c>
    </row>
    <row r="467">
      <c r="A467" s="2" t="n">
        <v>662240240</v>
      </c>
      <c r="B467" s="2" t="inlineStr">
        <is>
          <t>SERVO HYPERDRIVE NXT 10W-40-4X 5 L PROMO</t>
        </is>
      </c>
      <c r="C467" s="3" t="inlineStr">
        <is>
          <t>CAR</t>
        </is>
      </c>
      <c r="D467" s="3" t="inlineStr">
        <is>
          <t>PCMO</t>
        </is>
      </c>
      <c r="E467" s="3" t="n">
        <v>20</v>
      </c>
      <c r="F467" s="3" t="n">
        <v>5</v>
      </c>
      <c r="G467" s="3">
        <f>E467/F467</f>
        <v/>
      </c>
      <c r="H467" s="3" t="n">
        <v>5682</v>
      </c>
      <c r="I467" s="4" t="n">
        <v>3854.1006</v>
      </c>
      <c r="J467" s="4">
        <f>I467/1.18</f>
        <v/>
      </c>
      <c r="K467" s="5" t="n">
        <v>0</v>
      </c>
      <c r="L467" s="5">
        <f>(K467)*F467</f>
        <v/>
      </c>
      <c r="M467" s="4">
        <f>J467-L467</f>
        <v/>
      </c>
      <c r="N467" s="3" t="n"/>
      <c r="O467" s="4">
        <f>M467-N467</f>
        <v/>
      </c>
      <c r="P467" s="6">
        <f>O467*1.18</f>
        <v/>
      </c>
    </row>
    <row r="468">
      <c r="A468" s="2" t="n">
        <v>671230229</v>
      </c>
      <c r="B468" s="2" t="inlineStr">
        <is>
          <t>SERVO HYPERTORQ 10W-30-20 X 1 L PROMO</t>
        </is>
      </c>
      <c r="C468" s="3" t="inlineStr">
        <is>
          <t>CAR</t>
        </is>
      </c>
      <c r="D468" s="3" t="inlineStr">
        <is>
          <t>CVO</t>
        </is>
      </c>
      <c r="E468" s="3" t="n">
        <v>20</v>
      </c>
      <c r="F468" s="3" t="n">
        <v>1</v>
      </c>
      <c r="G468" s="3">
        <f>E468/F468</f>
        <v/>
      </c>
      <c r="H468" s="3" t="n">
        <v>530</v>
      </c>
      <c r="I468" s="4" t="n">
        <v>414.99</v>
      </c>
      <c r="J468" s="4">
        <f>I468/1.18</f>
        <v/>
      </c>
      <c r="K468" s="5" t="n">
        <v>0</v>
      </c>
      <c r="L468" s="5">
        <f>(K468)*F468</f>
        <v/>
      </c>
      <c r="M468" s="4">
        <f>J468-L468</f>
        <v/>
      </c>
      <c r="N468" s="3" t="n"/>
      <c r="O468" s="4">
        <f>M468-N468</f>
        <v/>
      </c>
      <c r="P468" s="6">
        <f>O468*1.18</f>
        <v/>
      </c>
    </row>
    <row r="469">
      <c r="A469" s="2" t="n">
        <v>671230240</v>
      </c>
      <c r="B469" s="2" t="inlineStr">
        <is>
          <t>SERVO HYPERTORQ 10W-30-4 X 5 L PROMO</t>
        </is>
      </c>
      <c r="C469" s="3" t="inlineStr">
        <is>
          <t>CAR</t>
        </is>
      </c>
      <c r="D469" s="3" t="inlineStr">
        <is>
          <t>CVO</t>
        </is>
      </c>
      <c r="E469" s="3" t="n">
        <v>20</v>
      </c>
      <c r="F469" s="3" t="n">
        <v>5</v>
      </c>
      <c r="G469" s="3">
        <f>E469/F469</f>
        <v/>
      </c>
      <c r="H469" s="3" t="n">
        <v>2625</v>
      </c>
      <c r="I469" s="4" t="n">
        <v>2050.125</v>
      </c>
      <c r="J469" s="4">
        <f>I469/1.18</f>
        <v/>
      </c>
      <c r="K469" s="5" t="n">
        <v>0</v>
      </c>
      <c r="L469" s="5">
        <f>(K469)*F469</f>
        <v/>
      </c>
      <c r="M469" s="4">
        <f>J469-L469</f>
        <v/>
      </c>
      <c r="N469" s="3" t="n"/>
      <c r="O469" s="4">
        <f>M469-N469</f>
        <v/>
      </c>
      <c r="P469" s="6">
        <f>O469*1.18</f>
        <v/>
      </c>
    </row>
    <row r="470">
      <c r="A470" s="2" t="n">
        <v>671230250</v>
      </c>
      <c r="B470" s="2" t="inlineStr">
        <is>
          <t>SERVO HYPERTORQ 10W-30-7.5 L PROMO</t>
        </is>
      </c>
      <c r="C470" s="3" t="inlineStr">
        <is>
          <t>BUC</t>
        </is>
      </c>
      <c r="D470" s="3" t="inlineStr">
        <is>
          <t>CVO</t>
        </is>
      </c>
      <c r="E470" s="3" t="n">
        <v>7.5</v>
      </c>
      <c r="F470" s="3" t="n">
        <v>7.5</v>
      </c>
      <c r="G470" s="3">
        <f>E470/F470</f>
        <v/>
      </c>
      <c r="H470" s="3" t="n">
        <v>3938</v>
      </c>
      <c r="I470" s="4" t="n">
        <v>3075.184200000001</v>
      </c>
      <c r="J470" s="4">
        <f>I470/1.18</f>
        <v/>
      </c>
      <c r="K470" s="5" t="n">
        <v>0</v>
      </c>
      <c r="L470" s="5">
        <f>(K470)*F470</f>
        <v/>
      </c>
      <c r="M470" s="4">
        <f>J470-L470</f>
        <v/>
      </c>
      <c r="N470" s="3" t="n"/>
      <c r="O470" s="4">
        <f>M470-N470</f>
        <v/>
      </c>
      <c r="P470" s="6">
        <f>O470*1.18</f>
        <v/>
      </c>
    </row>
    <row r="471">
      <c r="A471" s="2" t="n">
        <v>671230253</v>
      </c>
      <c r="B471" s="2" t="inlineStr">
        <is>
          <t>SERVO HYPERTORQ 10W-30-15 L PROMO</t>
        </is>
      </c>
      <c r="C471" s="3" t="inlineStr">
        <is>
          <t>BUC</t>
        </is>
      </c>
      <c r="D471" s="3" t="inlineStr">
        <is>
          <t>CVO</t>
        </is>
      </c>
      <c r="E471" s="3" t="n">
        <v>15</v>
      </c>
      <c r="F471" s="3" t="n">
        <v>15</v>
      </c>
      <c r="G471" s="3">
        <f>E471/F471</f>
        <v/>
      </c>
      <c r="H471" s="3" t="n">
        <v>7875</v>
      </c>
      <c r="I471" s="4" t="n">
        <v>6150.375</v>
      </c>
      <c r="J471" s="4">
        <f>I471/1.18</f>
        <v/>
      </c>
      <c r="K471" s="5" t="n">
        <v>0</v>
      </c>
      <c r="L471" s="5">
        <f>(K471)*F471</f>
        <v/>
      </c>
      <c r="M471" s="4">
        <f>J471-L471</f>
        <v/>
      </c>
      <c r="N471" s="3" t="n"/>
      <c r="O471" s="4">
        <f>M471-N471</f>
        <v/>
      </c>
      <c r="P471" s="6">
        <f>O471*1.18</f>
        <v/>
      </c>
    </row>
    <row r="472">
      <c r="A472" s="2" t="n">
        <v>671230269</v>
      </c>
      <c r="B472" s="2" t="inlineStr">
        <is>
          <t>SERVO HYPERTORQ 10W-30-20 L PROMO</t>
        </is>
      </c>
      <c r="C472" s="3" t="inlineStr">
        <is>
          <t>BUC</t>
        </is>
      </c>
      <c r="D472" s="3" t="inlineStr">
        <is>
          <t>CVO</t>
        </is>
      </c>
      <c r="E472" s="3" t="n">
        <v>20</v>
      </c>
      <c r="F472" s="3" t="n">
        <v>20</v>
      </c>
      <c r="G472" s="3">
        <f>E472/F472</f>
        <v/>
      </c>
      <c r="H472" s="3" t="n">
        <v>10500</v>
      </c>
      <c r="I472" s="4" t="n">
        <v>8200.499999999998</v>
      </c>
      <c r="J472" s="4">
        <f>I472/1.18</f>
        <v/>
      </c>
      <c r="K472" s="5" t="n">
        <v>0</v>
      </c>
      <c r="L472" s="5">
        <f>(K472)*F472</f>
        <v/>
      </c>
      <c r="M472" s="4">
        <f>J472-L472</f>
        <v/>
      </c>
      <c r="N472" s="3" t="n"/>
      <c r="O472" s="4">
        <f>M472-N472</f>
        <v/>
      </c>
      <c r="P472" s="6">
        <f>O472*1.18</f>
        <v/>
      </c>
    </row>
    <row r="473">
      <c r="A473" s="2" t="n">
        <v>671340136</v>
      </c>
      <c r="B473" s="2" t="inlineStr">
        <is>
          <t>SERVO HYPERTORQ 15W-40-18 L PROMO</t>
        </is>
      </c>
      <c r="C473" s="3" t="inlineStr">
        <is>
          <t>BUC</t>
        </is>
      </c>
      <c r="D473" s="3" t="inlineStr">
        <is>
          <t>CVO</t>
        </is>
      </c>
      <c r="E473" s="3" t="n">
        <v>18</v>
      </c>
      <c r="F473" s="3" t="n">
        <v>18</v>
      </c>
      <c r="G473" s="3">
        <f>E473/F473</f>
        <v/>
      </c>
      <c r="H473" s="3" t="n">
        <v>9090</v>
      </c>
      <c r="I473" s="4" t="n">
        <v>7290.18</v>
      </c>
      <c r="J473" s="4">
        <f>I473/1.18</f>
        <v/>
      </c>
      <c r="K473" s="5" t="n">
        <v>0</v>
      </c>
      <c r="L473" s="5">
        <f>(K473)*F473</f>
        <v/>
      </c>
      <c r="M473" s="4">
        <f>J473-L473</f>
        <v/>
      </c>
      <c r="N473" s="3" t="n"/>
      <c r="O473" s="4">
        <f>M473-N473</f>
        <v/>
      </c>
      <c r="P473" s="6">
        <f>O473*1.18</f>
        <v/>
      </c>
    </row>
    <row r="474">
      <c r="A474" s="2" t="n">
        <v>671340204</v>
      </c>
      <c r="B474" s="2" t="inlineStr">
        <is>
          <t>SERVO HYPERTORQ 15W-40-4 X 3 L PROMO</t>
        </is>
      </c>
      <c r="C474" s="3" t="inlineStr">
        <is>
          <t>CAR</t>
        </is>
      </c>
      <c r="D474" s="3" t="inlineStr">
        <is>
          <t>CVO</t>
        </is>
      </c>
      <c r="E474" s="3" t="n">
        <v>12</v>
      </c>
      <c r="F474" s="3" t="n">
        <v>3</v>
      </c>
      <c r="G474" s="3">
        <f>E474/F474</f>
        <v/>
      </c>
      <c r="H474" s="3" t="n">
        <v>1575</v>
      </c>
      <c r="I474" s="4" t="n">
        <v>1260</v>
      </c>
      <c r="J474" s="4">
        <f>I474/1.18</f>
        <v/>
      </c>
      <c r="K474" s="5" t="n">
        <v>0</v>
      </c>
      <c r="L474" s="5">
        <f>(K474)*F474</f>
        <v/>
      </c>
      <c r="M474" s="4">
        <f>J474-L474</f>
        <v/>
      </c>
      <c r="N474" s="3" t="n"/>
      <c r="O474" s="4">
        <f>M474-N474</f>
        <v/>
      </c>
      <c r="P474" s="6">
        <f>O474*1.18</f>
        <v/>
      </c>
    </row>
    <row r="475">
      <c r="A475" s="2" t="n">
        <v>671340229</v>
      </c>
      <c r="B475" s="2" t="inlineStr">
        <is>
          <t>SERVO HYPERTORQ 15W-40-20 X 1 L PROMO</t>
        </is>
      </c>
      <c r="C475" s="3" t="inlineStr">
        <is>
          <t>CAR</t>
        </is>
      </c>
      <c r="D475" s="3" t="inlineStr">
        <is>
          <t>CVO</t>
        </is>
      </c>
      <c r="E475" s="3" t="n">
        <v>20</v>
      </c>
      <c r="F475" s="3" t="n">
        <v>1</v>
      </c>
      <c r="G475" s="3">
        <f>E475/F475</f>
        <v/>
      </c>
      <c r="H475" s="3" t="n">
        <v>530</v>
      </c>
      <c r="I475" s="4" t="n">
        <v>429.989</v>
      </c>
      <c r="J475" s="4">
        <f>I475/1.18</f>
        <v/>
      </c>
      <c r="K475" s="5" t="n">
        <v>0</v>
      </c>
      <c r="L475" s="5">
        <f>(K475)*F475</f>
        <v/>
      </c>
      <c r="M475" s="4">
        <f>J475-L475</f>
        <v/>
      </c>
      <c r="N475" s="3" t="n"/>
      <c r="O475" s="4">
        <f>M475-N475</f>
        <v/>
      </c>
      <c r="P475" s="6">
        <f>O475*1.18</f>
        <v/>
      </c>
    </row>
    <row r="476">
      <c r="A476" s="2" t="n">
        <v>671340240</v>
      </c>
      <c r="B476" s="2" t="inlineStr">
        <is>
          <t>SERVO HYPERTORQ 15W-40-4 X 5 L PROMO</t>
        </is>
      </c>
      <c r="C476" s="3" t="inlineStr">
        <is>
          <t>CAR</t>
        </is>
      </c>
      <c r="D476" s="3" t="inlineStr">
        <is>
          <t>CVO</t>
        </is>
      </c>
      <c r="E476" s="3" t="n">
        <v>20</v>
      </c>
      <c r="F476" s="3" t="n">
        <v>5</v>
      </c>
      <c r="G476" s="3">
        <f>E476/F476</f>
        <v/>
      </c>
      <c r="H476" s="3" t="n">
        <v>2600</v>
      </c>
      <c r="I476" s="4" t="n">
        <v>2075.06</v>
      </c>
      <c r="J476" s="4">
        <f>I476/1.18</f>
        <v/>
      </c>
      <c r="K476" s="5" t="n">
        <v>0</v>
      </c>
      <c r="L476" s="5">
        <f>(K476)*F476</f>
        <v/>
      </c>
      <c r="M476" s="4">
        <f>J476-L476</f>
        <v/>
      </c>
      <c r="N476" s="3" t="n"/>
      <c r="O476" s="4">
        <f>M476-N476</f>
        <v/>
      </c>
      <c r="P476" s="6">
        <f>O476*1.18</f>
        <v/>
      </c>
    </row>
    <row r="477">
      <c r="A477" s="2" t="n">
        <v>671340241</v>
      </c>
      <c r="B477" s="2" t="inlineStr">
        <is>
          <t>SERVO HYPERTORQ 15W-40-10 L PROMO</t>
        </is>
      </c>
      <c r="C477" s="3" t="inlineStr">
        <is>
          <t>BUC</t>
        </is>
      </c>
      <c r="D477" s="3" t="inlineStr">
        <is>
          <t>CVO</t>
        </is>
      </c>
      <c r="E477" s="3" t="n">
        <v>10</v>
      </c>
      <c r="F477" s="3" t="n">
        <v>10</v>
      </c>
      <c r="G477" s="3">
        <f>E477/F477</f>
        <v/>
      </c>
      <c r="H477" s="3" t="n">
        <v>5050</v>
      </c>
      <c r="I477" s="4" t="n">
        <v>4050.1</v>
      </c>
      <c r="J477" s="4">
        <f>I477/1.18</f>
        <v/>
      </c>
      <c r="K477" s="5" t="n">
        <v>0</v>
      </c>
      <c r="L477" s="5">
        <f>(K477)*F477</f>
        <v/>
      </c>
      <c r="M477" s="4">
        <f>J477-L477</f>
        <v/>
      </c>
      <c r="N477" s="3" t="n"/>
      <c r="O477" s="4">
        <f>M477-N477</f>
        <v/>
      </c>
      <c r="P477" s="6">
        <f>O477*1.18</f>
        <v/>
      </c>
    </row>
    <row r="478">
      <c r="A478" s="2" t="n">
        <v>671340250</v>
      </c>
      <c r="B478" s="2" t="inlineStr">
        <is>
          <t>SERVO HYPERTORQ 15W-40-7.5 L PROMO</t>
        </is>
      </c>
      <c r="C478" s="3" t="inlineStr">
        <is>
          <t>BUC</t>
        </is>
      </c>
      <c r="D478" s="3" t="inlineStr">
        <is>
          <t>CVO</t>
        </is>
      </c>
      <c r="E478" s="3" t="n">
        <v>7.5</v>
      </c>
      <c r="F478" s="3" t="n">
        <v>7.5</v>
      </c>
      <c r="G478" s="3">
        <f>E478/F478</f>
        <v/>
      </c>
      <c r="H478" s="3" t="n">
        <v>3788</v>
      </c>
      <c r="I478" s="4" t="n">
        <v>3037.5972</v>
      </c>
      <c r="J478" s="4">
        <f>I478/1.18</f>
        <v/>
      </c>
      <c r="K478" s="5" t="n">
        <v>0</v>
      </c>
      <c r="L478" s="5">
        <f>(K478)*F478</f>
        <v/>
      </c>
      <c r="M478" s="4">
        <f>J478-L478</f>
        <v/>
      </c>
      <c r="N478" s="3" t="n"/>
      <c r="O478" s="4">
        <f>M478-N478</f>
        <v/>
      </c>
      <c r="P478" s="6">
        <f>O478*1.18</f>
        <v/>
      </c>
    </row>
    <row r="479">
      <c r="A479" s="2" t="n">
        <v>671340253</v>
      </c>
      <c r="B479" s="2" t="inlineStr">
        <is>
          <t>SERVO HYPERTORQ 15W-40-15 L PROMO</t>
        </is>
      </c>
      <c r="C479" s="3" t="inlineStr">
        <is>
          <t>BUC</t>
        </is>
      </c>
      <c r="D479" s="3" t="inlineStr">
        <is>
          <t>CVO</t>
        </is>
      </c>
      <c r="E479" s="3" t="n">
        <v>15</v>
      </c>
      <c r="F479" s="3" t="n">
        <v>15</v>
      </c>
      <c r="G479" s="3">
        <f>E479/F479</f>
        <v/>
      </c>
      <c r="H479" s="3" t="n">
        <v>7575</v>
      </c>
      <c r="I479" s="4" t="n">
        <v>6075.150000000001</v>
      </c>
      <c r="J479" s="4">
        <f>I479/1.18</f>
        <v/>
      </c>
      <c r="K479" s="5" t="n">
        <v>0</v>
      </c>
      <c r="L479" s="5">
        <f>(K479)*F479</f>
        <v/>
      </c>
      <c r="M479" s="4">
        <f>J479-L479</f>
        <v/>
      </c>
      <c r="N479" s="3" t="n"/>
      <c r="O479" s="4">
        <f>M479-N479</f>
        <v/>
      </c>
      <c r="P479" s="6">
        <f>O479*1.18</f>
        <v/>
      </c>
    </row>
    <row r="480">
      <c r="A480" s="2" t="n">
        <v>671340269</v>
      </c>
      <c r="B480" s="2" t="inlineStr">
        <is>
          <t>SERVO HYPERTORQ 15W-40-20 L PROMO</t>
        </is>
      </c>
      <c r="C480" s="3" t="inlineStr">
        <is>
          <t>BUC</t>
        </is>
      </c>
      <c r="D480" s="3" t="inlineStr">
        <is>
          <t>CVO</t>
        </is>
      </c>
      <c r="E480" s="3" t="n">
        <v>20</v>
      </c>
      <c r="F480" s="3" t="n">
        <v>20</v>
      </c>
      <c r="G480" s="3">
        <f>E480/F480</f>
        <v/>
      </c>
      <c r="H480" s="3" t="n">
        <v>10100</v>
      </c>
      <c r="I480" s="4" t="n">
        <v>8100.2</v>
      </c>
      <c r="J480" s="4">
        <f>I480/1.18</f>
        <v/>
      </c>
      <c r="K480" s="5" t="n">
        <v>0</v>
      </c>
      <c r="L480" s="5">
        <f>(K480)*F480</f>
        <v/>
      </c>
      <c r="M480" s="4">
        <f>J480-L480</f>
        <v/>
      </c>
      <c r="N480" s="3" t="n"/>
      <c r="O480" s="4">
        <f>M480-N480</f>
        <v/>
      </c>
      <c r="P480" s="6">
        <f>O480*1.18</f>
        <v/>
      </c>
    </row>
    <row r="481">
      <c r="A481" s="2" t="n">
        <v>681230136</v>
      </c>
      <c r="B481" s="2" t="inlineStr">
        <is>
          <t>SERVO HYPERTORQ NXT 10W-30-18 L PROMO</t>
        </is>
      </c>
      <c r="C481" s="3" t="inlineStr">
        <is>
          <t>BUC</t>
        </is>
      </c>
      <c r="D481" s="3" t="inlineStr">
        <is>
          <t>CVO</t>
        </is>
      </c>
      <c r="E481" s="3" t="n">
        <v>18</v>
      </c>
      <c r="F481" s="3" t="n">
        <v>18</v>
      </c>
      <c r="G481" s="3">
        <f>E481/F481</f>
        <v/>
      </c>
      <c r="H481" s="3" t="n">
        <v>10080</v>
      </c>
      <c r="I481" s="4" t="n">
        <v>7740.432000000001</v>
      </c>
      <c r="J481" s="4">
        <f>I481/1.18</f>
        <v/>
      </c>
      <c r="K481" s="5" t="n">
        <v>0</v>
      </c>
      <c r="L481" s="5">
        <f>(K481)*F481</f>
        <v/>
      </c>
      <c r="M481" s="4">
        <f>J481-L481</f>
        <v/>
      </c>
      <c r="N481" s="3" t="n"/>
      <c r="O481" s="4">
        <f>M481-N481</f>
        <v/>
      </c>
      <c r="P481" s="6">
        <f>O481*1.18</f>
        <v/>
      </c>
    </row>
    <row r="482">
      <c r="A482" s="2" t="n">
        <v>681230229</v>
      </c>
      <c r="B482" s="2" t="inlineStr">
        <is>
          <t>SERVO HYPERTORQ NXT 10W-30-20X 1 L PROMO</t>
        </is>
      </c>
      <c r="C482" s="3" t="inlineStr">
        <is>
          <t>CAR</t>
        </is>
      </c>
      <c r="D482" s="3" t="inlineStr">
        <is>
          <t>CVO</t>
        </is>
      </c>
      <c r="E482" s="3" t="n">
        <v>20</v>
      </c>
      <c r="F482" s="3" t="n">
        <v>1</v>
      </c>
      <c r="G482" s="3">
        <f>E482/F482</f>
        <v/>
      </c>
      <c r="H482" s="3" t="n">
        <v>580</v>
      </c>
      <c r="I482" s="4" t="n">
        <v>469.974</v>
      </c>
      <c r="J482" s="4">
        <f>I482/1.18</f>
        <v/>
      </c>
      <c r="K482" s="5" t="n">
        <v>0</v>
      </c>
      <c r="L482" s="5">
        <f>(K482)*F482</f>
        <v/>
      </c>
      <c r="M482" s="4">
        <f>J482-L482</f>
        <v/>
      </c>
      <c r="N482" s="3" t="n"/>
      <c r="O482" s="4">
        <f>M482-N482</f>
        <v/>
      </c>
      <c r="P482" s="6">
        <f>O482*1.18</f>
        <v/>
      </c>
    </row>
    <row r="483">
      <c r="A483" s="2" t="n">
        <v>681230240</v>
      </c>
      <c r="B483" s="2" t="inlineStr">
        <is>
          <t>SERVO HYPERTORQ NXT 10W-30-4 X 5 L PROMO</t>
        </is>
      </c>
      <c r="C483" s="3" t="inlineStr">
        <is>
          <t>CAR</t>
        </is>
      </c>
      <c r="D483" s="3" t="inlineStr">
        <is>
          <t>CVO</t>
        </is>
      </c>
      <c r="E483" s="3" t="n">
        <v>20</v>
      </c>
      <c r="F483" s="3" t="n">
        <v>5</v>
      </c>
      <c r="G483" s="3">
        <f>E483/F483</f>
        <v/>
      </c>
      <c r="H483" s="3" t="n">
        <v>2875</v>
      </c>
      <c r="I483" s="4" t="n">
        <v>2300</v>
      </c>
      <c r="J483" s="4">
        <f>I483/1.18</f>
        <v/>
      </c>
      <c r="K483" s="5" t="n">
        <v>0</v>
      </c>
      <c r="L483" s="5">
        <f>(K483)*F483</f>
        <v/>
      </c>
      <c r="M483" s="4">
        <f>J483-L483</f>
        <v/>
      </c>
      <c r="N483" s="3" t="n"/>
      <c r="O483" s="4">
        <f>M483-N483</f>
        <v/>
      </c>
      <c r="P483" s="6">
        <f>O483*1.18</f>
        <v/>
      </c>
    </row>
    <row r="484">
      <c r="A484" s="2" t="n">
        <v>681230250</v>
      </c>
      <c r="B484" s="2" t="inlineStr">
        <is>
          <t>SERVO HYPERTORQ NXT 10W-30-7.5 L PROMO</t>
        </is>
      </c>
      <c r="C484" s="3" t="inlineStr">
        <is>
          <t>BUC</t>
        </is>
      </c>
      <c r="D484" s="3" t="inlineStr">
        <is>
          <t>CVO</t>
        </is>
      </c>
      <c r="E484" s="3" t="n">
        <v>7.5</v>
      </c>
      <c r="F484" s="3" t="n">
        <v>7.5</v>
      </c>
      <c r="G484" s="3">
        <f>E484/F484</f>
        <v/>
      </c>
      <c r="H484" s="3" t="n">
        <v>4200</v>
      </c>
      <c r="I484" s="4" t="n">
        <v>3225.18</v>
      </c>
      <c r="J484" s="4">
        <f>I484/1.18</f>
        <v/>
      </c>
      <c r="K484" s="5" t="n">
        <v>0</v>
      </c>
      <c r="L484" s="5">
        <f>(K484)*F484</f>
        <v/>
      </c>
      <c r="M484" s="4">
        <f>J484-L484</f>
        <v/>
      </c>
      <c r="N484" s="3" t="n"/>
      <c r="O484" s="4">
        <f>M484-N484</f>
        <v/>
      </c>
      <c r="P484" s="6">
        <f>O484*1.18</f>
        <v/>
      </c>
    </row>
    <row r="485">
      <c r="A485" s="2" t="n">
        <v>681230253</v>
      </c>
      <c r="B485" s="2" t="inlineStr">
        <is>
          <t>SERVO HYPERTORQ NXT 10W-30-15 L PROMO</t>
        </is>
      </c>
      <c r="C485" s="3" t="inlineStr">
        <is>
          <t>BUC</t>
        </is>
      </c>
      <c r="D485" s="3" t="inlineStr">
        <is>
          <t>CVO</t>
        </is>
      </c>
      <c r="E485" s="3" t="n">
        <v>15</v>
      </c>
      <c r="F485" s="3" t="n">
        <v>15</v>
      </c>
      <c r="G485" s="3">
        <f>E485/F485</f>
        <v/>
      </c>
      <c r="H485" s="3" t="n">
        <v>8400</v>
      </c>
      <c r="I485" s="4" t="n">
        <v>6450.360000000001</v>
      </c>
      <c r="J485" s="4">
        <f>I485/1.18</f>
        <v/>
      </c>
      <c r="K485" s="5" t="n">
        <v>0</v>
      </c>
      <c r="L485" s="5">
        <f>(K485)*F485</f>
        <v/>
      </c>
      <c r="M485" s="4">
        <f>J485-L485</f>
        <v/>
      </c>
      <c r="N485" s="3" t="n"/>
      <c r="O485" s="4">
        <f>M485-N485</f>
        <v/>
      </c>
      <c r="P485" s="6">
        <f>O485*1.18</f>
        <v/>
      </c>
    </row>
    <row r="486">
      <c r="A486" s="2" t="n">
        <v>681230269</v>
      </c>
      <c r="B486" s="2" t="inlineStr">
        <is>
          <t>SERVO HYPERTORQ NXT 10W-30-20 L PROMO</t>
        </is>
      </c>
      <c r="C486" s="3" t="inlineStr">
        <is>
          <t>BUC</t>
        </is>
      </c>
      <c r="D486" s="3" t="inlineStr">
        <is>
          <t>CVO</t>
        </is>
      </c>
      <c r="E486" s="3" t="n">
        <v>20</v>
      </c>
      <c r="F486" s="3" t="n">
        <v>20</v>
      </c>
      <c r="G486" s="3">
        <f>E486/F486</f>
        <v/>
      </c>
      <c r="H486" s="3" t="n">
        <v>11200</v>
      </c>
      <c r="I486" s="4" t="n">
        <v>8600.480000000001</v>
      </c>
      <c r="J486" s="4">
        <f>I486/1.18</f>
        <v/>
      </c>
      <c r="K486" s="5" t="n">
        <v>0</v>
      </c>
      <c r="L486" s="5">
        <f>(K486)*F486</f>
        <v/>
      </c>
      <c r="M486" s="4">
        <f>J486-L486</f>
        <v/>
      </c>
      <c r="N486" s="3" t="n"/>
      <c r="O486" s="4">
        <f>M486-N486</f>
        <v/>
      </c>
      <c r="P486" s="6">
        <f>O486*1.18</f>
        <v/>
      </c>
    </row>
    <row r="487">
      <c r="A487" s="2" t="n">
        <v>681240136</v>
      </c>
      <c r="B487" s="2" t="inlineStr">
        <is>
          <t>SERVO HYPERTORQ NXT 10W-40-18 L PROMO</t>
        </is>
      </c>
      <c r="C487" s="3" t="inlineStr">
        <is>
          <t>BUC</t>
        </is>
      </c>
      <c r="D487" s="3" t="inlineStr">
        <is>
          <t>CVO</t>
        </is>
      </c>
      <c r="E487" s="3" t="n">
        <v>18</v>
      </c>
      <c r="F487" s="3" t="n">
        <v>18</v>
      </c>
      <c r="G487" s="3">
        <f>E487/F487</f>
        <v/>
      </c>
      <c r="H487" s="3" t="n">
        <v>11340</v>
      </c>
      <c r="I487" s="4" t="n">
        <v>8820.252</v>
      </c>
      <c r="J487" s="4">
        <f>I487/1.18</f>
        <v/>
      </c>
      <c r="K487" s="5" t="n">
        <v>0</v>
      </c>
      <c r="L487" s="5">
        <f>(K487)*F487</f>
        <v/>
      </c>
      <c r="M487" s="4">
        <f>J487-L487</f>
        <v/>
      </c>
      <c r="N487" s="3" t="n"/>
      <c r="O487" s="4">
        <f>M487-N487</f>
        <v/>
      </c>
      <c r="P487" s="6">
        <f>O487*1.18</f>
        <v/>
      </c>
    </row>
    <row r="488">
      <c r="A488" s="2" t="n">
        <v>681240229</v>
      </c>
      <c r="B488" s="2" t="inlineStr">
        <is>
          <t>SERVO HYPERTORQ NXT 10W-40-20 X1 L PROMO</t>
        </is>
      </c>
      <c r="C488" s="3" t="inlineStr">
        <is>
          <t>CAR</t>
        </is>
      </c>
      <c r="D488" s="3" t="inlineStr">
        <is>
          <t>CVO</t>
        </is>
      </c>
      <c r="E488" s="3" t="n">
        <v>20</v>
      </c>
      <c r="F488" s="3" t="n">
        <v>1</v>
      </c>
      <c r="G488" s="3">
        <f>E488/F488</f>
        <v/>
      </c>
      <c r="H488" s="3" t="n">
        <v>650</v>
      </c>
      <c r="I488" s="4" t="n">
        <v>509.99</v>
      </c>
      <c r="J488" s="4">
        <f>I488/1.18</f>
        <v/>
      </c>
      <c r="K488" s="5" t="n">
        <v>0</v>
      </c>
      <c r="L488" s="5">
        <f>(K488)*F488</f>
        <v/>
      </c>
      <c r="M488" s="4">
        <f>J488-L488</f>
        <v/>
      </c>
      <c r="N488" s="3" t="n"/>
      <c r="O488" s="4">
        <f>M488-N488</f>
        <v/>
      </c>
      <c r="P488" s="6">
        <f>O488*1.18</f>
        <v/>
      </c>
    </row>
    <row r="489">
      <c r="A489" s="2" t="n">
        <v>681240240</v>
      </c>
      <c r="B489" s="2" t="inlineStr">
        <is>
          <t>SERVO HYPERTORQ NXT 10W-40-4 X 5 L PROMO</t>
        </is>
      </c>
      <c r="C489" s="3" t="inlineStr">
        <is>
          <t>CAR</t>
        </is>
      </c>
      <c r="D489" s="3" t="inlineStr">
        <is>
          <t>CVO</t>
        </is>
      </c>
      <c r="E489" s="3" t="n">
        <v>20</v>
      </c>
      <c r="F489" s="3" t="n">
        <v>5</v>
      </c>
      <c r="G489" s="3">
        <f>E489/F489</f>
        <v/>
      </c>
      <c r="H489" s="3" t="n">
        <v>3250</v>
      </c>
      <c r="I489" s="4" t="n">
        <v>2499.9</v>
      </c>
      <c r="J489" s="4">
        <f>I489/1.18</f>
        <v/>
      </c>
      <c r="K489" s="5" t="n">
        <v>0</v>
      </c>
      <c r="L489" s="5">
        <f>(K489)*F489</f>
        <v/>
      </c>
      <c r="M489" s="4">
        <f>J489-L489</f>
        <v/>
      </c>
      <c r="N489" s="3" t="n"/>
      <c r="O489" s="4">
        <f>M489-N489</f>
        <v/>
      </c>
      <c r="P489" s="6">
        <f>O489*1.18</f>
        <v/>
      </c>
    </row>
    <row r="490">
      <c r="A490" s="2" t="n">
        <v>681240250</v>
      </c>
      <c r="B490" s="2" t="inlineStr">
        <is>
          <t>SERVO HYPERTORQ NXT 10W-40-7.5 L PROMO</t>
        </is>
      </c>
      <c r="C490" s="3" t="inlineStr">
        <is>
          <t>BUC</t>
        </is>
      </c>
      <c r="D490" s="3" t="inlineStr">
        <is>
          <t>CVO</t>
        </is>
      </c>
      <c r="E490" s="3" t="n">
        <v>7.5</v>
      </c>
      <c r="F490" s="3" t="n">
        <v>7.5</v>
      </c>
      <c r="G490" s="3">
        <f>E490/F490</f>
        <v/>
      </c>
      <c r="H490" s="3" t="n">
        <v>4725</v>
      </c>
      <c r="I490" s="4" t="n">
        <v>3675.105</v>
      </c>
      <c r="J490" s="4">
        <f>I490/1.18</f>
        <v/>
      </c>
      <c r="K490" s="5" t="n">
        <v>0</v>
      </c>
      <c r="L490" s="5">
        <f>(K490)*F490</f>
        <v/>
      </c>
      <c r="M490" s="4">
        <f>J490-L490</f>
        <v/>
      </c>
      <c r="N490" s="3" t="n"/>
      <c r="O490" s="4">
        <f>M490-N490</f>
        <v/>
      </c>
      <c r="P490" s="6">
        <f>O490*1.18</f>
        <v/>
      </c>
    </row>
    <row r="491">
      <c r="A491" s="2" t="n">
        <v>681240253</v>
      </c>
      <c r="B491" s="2" t="inlineStr">
        <is>
          <t>SERVO HYPERTORQ NXT 10W-40-15 L PROMO</t>
        </is>
      </c>
      <c r="C491" s="3" t="inlineStr">
        <is>
          <t>BUC</t>
        </is>
      </c>
      <c r="D491" s="3" t="inlineStr">
        <is>
          <t>CVO</t>
        </is>
      </c>
      <c r="E491" s="3" t="n">
        <v>15</v>
      </c>
      <c r="F491" s="3" t="n">
        <v>15</v>
      </c>
      <c r="G491" s="3">
        <f>E491/F491</f>
        <v/>
      </c>
      <c r="H491" s="3" t="n">
        <v>9450</v>
      </c>
      <c r="I491" s="4" t="n">
        <v>7350.21</v>
      </c>
      <c r="J491" s="4">
        <f>I491/1.18</f>
        <v/>
      </c>
      <c r="K491" s="5" t="n">
        <v>0</v>
      </c>
      <c r="L491" s="5">
        <f>(K491)*F491</f>
        <v/>
      </c>
      <c r="M491" s="4">
        <f>J491-L491</f>
        <v/>
      </c>
      <c r="N491" s="3" t="n"/>
      <c r="O491" s="4">
        <f>M491-N491</f>
        <v/>
      </c>
      <c r="P491" s="6">
        <f>O491*1.18</f>
        <v/>
      </c>
    </row>
    <row r="492">
      <c r="A492" s="2" t="n">
        <v>681240269</v>
      </c>
      <c r="B492" s="2" t="inlineStr">
        <is>
          <t>SERVO HYPERTORQ NXT 10W-40-20 L PROMO</t>
        </is>
      </c>
      <c r="C492" s="3" t="inlineStr">
        <is>
          <t>BUC</t>
        </is>
      </c>
      <c r="D492" s="3" t="inlineStr">
        <is>
          <t>CVO</t>
        </is>
      </c>
      <c r="E492" s="3" t="n">
        <v>20</v>
      </c>
      <c r="F492" s="3" t="n">
        <v>20</v>
      </c>
      <c r="G492" s="3">
        <f>E492/F492</f>
        <v/>
      </c>
      <c r="H492" s="3" t="n">
        <v>12600</v>
      </c>
      <c r="I492" s="4" t="n">
        <v>9800.280000000001</v>
      </c>
      <c r="J492" s="4">
        <f>I492/1.18</f>
        <v/>
      </c>
      <c r="K492" s="5" t="n">
        <v>0</v>
      </c>
      <c r="L492" s="5">
        <f>(K492)*F492</f>
        <v/>
      </c>
      <c r="M492" s="4">
        <f>J492-L492</f>
        <v/>
      </c>
      <c r="N492" s="3" t="n"/>
      <c r="O492" s="4">
        <f>M492-N492</f>
        <v/>
      </c>
      <c r="P492" s="6">
        <f>O492*1.18</f>
        <v/>
      </c>
    </row>
    <row r="493">
      <c r="A493" s="2" t="n">
        <v>681340136</v>
      </c>
      <c r="B493" s="2" t="inlineStr">
        <is>
          <t>SERVO HYPERTORQ NXT 15W-40-18 L PROMO</t>
        </is>
      </c>
      <c r="C493" s="3" t="inlineStr">
        <is>
          <t>BUC</t>
        </is>
      </c>
      <c r="D493" s="3" t="inlineStr">
        <is>
          <t>CVO</t>
        </is>
      </c>
      <c r="E493" s="3" t="n">
        <v>18</v>
      </c>
      <c r="F493" s="3" t="n">
        <v>18</v>
      </c>
      <c r="G493" s="3">
        <f>E493/F493</f>
        <v/>
      </c>
      <c r="H493" s="3" t="n">
        <v>9900</v>
      </c>
      <c r="I493" s="4" t="n">
        <v>7559.64</v>
      </c>
      <c r="J493" s="4">
        <f>I493/1.18</f>
        <v/>
      </c>
      <c r="K493" s="5" t="n">
        <v>0</v>
      </c>
      <c r="L493" s="5">
        <f>(K493)*F493</f>
        <v/>
      </c>
      <c r="M493" s="4">
        <f>J493-L493</f>
        <v/>
      </c>
      <c r="N493" s="3" t="n"/>
      <c r="O493" s="4">
        <f>M493-N493</f>
        <v/>
      </c>
      <c r="P493" s="6">
        <f>O493*1.18</f>
        <v/>
      </c>
    </row>
    <row r="494">
      <c r="A494" s="2" t="n">
        <v>681340204</v>
      </c>
      <c r="B494" s="2" t="inlineStr">
        <is>
          <t>SERVO HYPERTORQ NXT 15W-40-4 X 3 L PROMO</t>
        </is>
      </c>
      <c r="C494" s="3" t="inlineStr">
        <is>
          <t>CAR</t>
        </is>
      </c>
      <c r="D494" s="3" t="inlineStr">
        <is>
          <t>CVO</t>
        </is>
      </c>
      <c r="E494" s="3" t="n">
        <v>12</v>
      </c>
      <c r="F494" s="3" t="n">
        <v>3</v>
      </c>
      <c r="G494" s="3">
        <f>E494/F494</f>
        <v/>
      </c>
      <c r="H494" s="3" t="n">
        <v>1680</v>
      </c>
      <c r="I494" s="4" t="n">
        <v>1350.048</v>
      </c>
      <c r="J494" s="4">
        <f>I494/1.18</f>
        <v/>
      </c>
      <c r="K494" s="5" t="n">
        <v>0</v>
      </c>
      <c r="L494" s="5">
        <f>(K494)*F494</f>
        <v/>
      </c>
      <c r="M494" s="4">
        <f>J494-L494</f>
        <v/>
      </c>
      <c r="N494" s="3" t="n"/>
      <c r="O494" s="4">
        <f>M494-N494</f>
        <v/>
      </c>
      <c r="P494" s="6">
        <f>O494*1.18</f>
        <v/>
      </c>
    </row>
    <row r="495">
      <c r="A495" s="2" t="n">
        <v>681340229</v>
      </c>
      <c r="B495" s="2" t="inlineStr">
        <is>
          <t>SERVO HYPERTORQ NXT 15W-40-20 X1 L PROMO</t>
        </is>
      </c>
      <c r="C495" s="3" t="inlineStr">
        <is>
          <t>CAR</t>
        </is>
      </c>
      <c r="D495" s="3" t="inlineStr">
        <is>
          <t>CVO</t>
        </is>
      </c>
      <c r="E495" s="3" t="n">
        <v>20</v>
      </c>
      <c r="F495" s="3" t="n">
        <v>1</v>
      </c>
      <c r="G495" s="3">
        <f>E495/F495</f>
        <v/>
      </c>
      <c r="H495" s="3" t="n">
        <v>575</v>
      </c>
      <c r="I495" s="4" t="n">
        <v>460</v>
      </c>
      <c r="J495" s="4">
        <f>I495/1.18</f>
        <v/>
      </c>
      <c r="K495" s="5" t="n">
        <v>0</v>
      </c>
      <c r="L495" s="5">
        <f>(K495)*F495</f>
        <v/>
      </c>
      <c r="M495" s="4">
        <f>J495-L495</f>
        <v/>
      </c>
      <c r="N495" s="3" t="n"/>
      <c r="O495" s="4">
        <f>M495-N495</f>
        <v/>
      </c>
      <c r="P495" s="6">
        <f>O495*1.18</f>
        <v/>
      </c>
    </row>
    <row r="496">
      <c r="A496" s="2" t="n">
        <v>681340240</v>
      </c>
      <c r="B496" s="2" t="inlineStr">
        <is>
          <t>SERVO HYPERTORQ NXT 15W-40-4 X 5 L PROMO</t>
        </is>
      </c>
      <c r="C496" s="3" t="inlineStr">
        <is>
          <t>CAR</t>
        </is>
      </c>
      <c r="D496" s="3" t="inlineStr">
        <is>
          <t>CVO</t>
        </is>
      </c>
      <c r="E496" s="3" t="n">
        <v>20</v>
      </c>
      <c r="F496" s="3" t="n">
        <v>5</v>
      </c>
      <c r="G496" s="3">
        <f>E496/F496</f>
        <v/>
      </c>
      <c r="H496" s="3" t="n">
        <v>2800</v>
      </c>
      <c r="I496" s="4" t="n">
        <v>2175.04</v>
      </c>
      <c r="J496" s="4">
        <f>I496/1.18</f>
        <v/>
      </c>
      <c r="K496" s="5" t="n">
        <v>0</v>
      </c>
      <c r="L496" s="5">
        <f>(K496)*F496</f>
        <v/>
      </c>
      <c r="M496" s="4">
        <f>J496-L496</f>
        <v/>
      </c>
      <c r="N496" s="3" t="n"/>
      <c r="O496" s="4">
        <f>M496-N496</f>
        <v/>
      </c>
      <c r="P496" s="6">
        <f>O496*1.18</f>
        <v/>
      </c>
    </row>
    <row r="497">
      <c r="A497" s="2" t="n">
        <v>681340241</v>
      </c>
      <c r="B497" s="2" t="inlineStr">
        <is>
          <t>SERVO HYPERTORQ NXT 15W-40-10 L PROMO</t>
        </is>
      </c>
      <c r="C497" s="3" t="inlineStr">
        <is>
          <t>BUC</t>
        </is>
      </c>
      <c r="D497" s="3" t="inlineStr">
        <is>
          <t>CVO</t>
        </is>
      </c>
      <c r="E497" s="3" t="n">
        <v>10</v>
      </c>
      <c r="F497" s="3" t="n">
        <v>10</v>
      </c>
      <c r="G497" s="3">
        <f>E497/F497</f>
        <v/>
      </c>
      <c r="H497" s="3" t="n">
        <v>5550</v>
      </c>
      <c r="I497" s="4" t="n">
        <v>4200.240000000001</v>
      </c>
      <c r="J497" s="4">
        <f>I497/1.18</f>
        <v/>
      </c>
      <c r="K497" s="5" t="n">
        <v>0</v>
      </c>
      <c r="L497" s="5">
        <f>(K497)*F497</f>
        <v/>
      </c>
      <c r="M497" s="4">
        <f>J497-L497</f>
        <v/>
      </c>
      <c r="N497" s="3" t="n"/>
      <c r="O497" s="4">
        <f>M497-N497</f>
        <v/>
      </c>
      <c r="P497" s="6">
        <f>O497*1.18</f>
        <v/>
      </c>
    </row>
    <row r="498">
      <c r="A498" s="2" t="n">
        <v>681340250</v>
      </c>
      <c r="B498" s="2" t="inlineStr">
        <is>
          <t>SERVO HYPERTORQ NXT 15W-40-7.5 L PROMO</t>
        </is>
      </c>
      <c r="C498" s="3" t="inlineStr">
        <is>
          <t>BUC</t>
        </is>
      </c>
      <c r="D498" s="3" t="inlineStr">
        <is>
          <t>CVO</t>
        </is>
      </c>
      <c r="E498" s="3" t="n">
        <v>7.5</v>
      </c>
      <c r="F498" s="3" t="n">
        <v>7.5</v>
      </c>
      <c r="G498" s="3">
        <f>E498/F498</f>
        <v/>
      </c>
      <c r="H498" s="3" t="n">
        <v>4163</v>
      </c>
      <c r="I498" s="4" t="n">
        <v>3150.1421</v>
      </c>
      <c r="J498" s="4">
        <f>I498/1.18</f>
        <v/>
      </c>
      <c r="K498" s="5" t="n">
        <v>0</v>
      </c>
      <c r="L498" s="5">
        <f>(K498)*F498</f>
        <v/>
      </c>
      <c r="M498" s="4">
        <f>J498-L498</f>
        <v/>
      </c>
      <c r="N498" s="3" t="n"/>
      <c r="O498" s="4">
        <f>M498-N498</f>
        <v/>
      </c>
      <c r="P498" s="6">
        <f>O498*1.18</f>
        <v/>
      </c>
    </row>
    <row r="499">
      <c r="A499" s="2" t="n">
        <v>681340253</v>
      </c>
      <c r="B499" s="2" t="inlineStr">
        <is>
          <t>SERVO HYPERTORQ NXT 15W-40-15 L PROMO</t>
        </is>
      </c>
      <c r="C499" s="3" t="inlineStr">
        <is>
          <t>BUC</t>
        </is>
      </c>
      <c r="D499" s="3" t="inlineStr">
        <is>
          <t>CVO</t>
        </is>
      </c>
      <c r="E499" s="3" t="n">
        <v>15</v>
      </c>
      <c r="F499" s="3" t="n">
        <v>15</v>
      </c>
      <c r="G499" s="3">
        <f>E499/F499</f>
        <v/>
      </c>
      <c r="H499" s="3" t="n">
        <v>8325</v>
      </c>
      <c r="I499" s="4" t="n">
        <v>6300.360000000001</v>
      </c>
      <c r="J499" s="4">
        <f>I499/1.18</f>
        <v/>
      </c>
      <c r="K499" s="5" t="n">
        <v>0</v>
      </c>
      <c r="L499" s="5">
        <f>(K499)*F499</f>
        <v/>
      </c>
      <c r="M499" s="4">
        <f>J499-L499</f>
        <v/>
      </c>
      <c r="N499" s="3" t="n"/>
      <c r="O499" s="4">
        <f>M499-N499</f>
        <v/>
      </c>
      <c r="P499" s="6">
        <f>O499*1.18</f>
        <v/>
      </c>
    </row>
    <row r="500">
      <c r="A500" s="2" t="n">
        <v>681340269</v>
      </c>
      <c r="B500" s="2" t="inlineStr">
        <is>
          <t>SERVO HYPERTORQ NXT 15W-40-20 L PROMO</t>
        </is>
      </c>
      <c r="C500" s="3" t="inlineStr">
        <is>
          <t>BUC</t>
        </is>
      </c>
      <c r="D500" s="3" t="inlineStr">
        <is>
          <t>CVO</t>
        </is>
      </c>
      <c r="E500" s="3" t="n">
        <v>20</v>
      </c>
      <c r="F500" s="3" t="n">
        <v>20</v>
      </c>
      <c r="G500" s="3">
        <f>E500/F500</f>
        <v/>
      </c>
      <c r="H500" s="3" t="n">
        <v>11000</v>
      </c>
      <c r="I500" s="4" t="n">
        <v>8399.6</v>
      </c>
      <c r="J500" s="4">
        <f>I500/1.18</f>
        <v/>
      </c>
      <c r="K500" s="5" t="n">
        <v>0</v>
      </c>
      <c r="L500" s="5">
        <f>(K500)*F500</f>
        <v/>
      </c>
      <c r="M500" s="4">
        <f>J500-L500</f>
        <v/>
      </c>
      <c r="N500" s="3" t="n"/>
      <c r="O500" s="4">
        <f>M500-N500</f>
        <v/>
      </c>
      <c r="P500" s="6">
        <f>O500*1.18</f>
        <v/>
      </c>
    </row>
    <row r="501">
      <c r="A501" s="2" t="n">
        <v>772230136</v>
      </c>
      <c r="B501" s="2" t="inlineStr">
        <is>
          <t>SERVO PRIDE ALT CK4 10W-30-18 L PROMO</t>
        </is>
      </c>
      <c r="C501" s="3" t="inlineStr">
        <is>
          <t>BUC</t>
        </is>
      </c>
      <c r="D501" s="3" t="inlineStr">
        <is>
          <t>CVO</t>
        </is>
      </c>
      <c r="E501" s="3" t="n">
        <v>18</v>
      </c>
      <c r="F501" s="3" t="n">
        <v>18</v>
      </c>
      <c r="G501" s="3">
        <f>E501/F501</f>
        <v/>
      </c>
      <c r="H501" s="3" t="n">
        <v>9504</v>
      </c>
      <c r="I501" s="4" t="n">
        <v>7603.2</v>
      </c>
      <c r="J501" s="4">
        <f>I501/1.18</f>
        <v/>
      </c>
      <c r="K501" s="5" t="n">
        <v>0</v>
      </c>
      <c r="L501" s="5">
        <f>(K501)*F501</f>
        <v/>
      </c>
      <c r="M501" s="4">
        <f>J501-L501</f>
        <v/>
      </c>
      <c r="N501" s="3" t="n"/>
      <c r="O501" s="4">
        <f>M501-N501</f>
        <v/>
      </c>
      <c r="P501" s="6">
        <f>O501*1.18</f>
        <v/>
      </c>
    </row>
    <row r="502">
      <c r="A502" s="2" t="n">
        <v>772230229</v>
      </c>
      <c r="B502" s="2" t="inlineStr">
        <is>
          <t>SER PR ALT CK4 10W30-20 X 1 L PROMO</t>
        </is>
      </c>
      <c r="C502" s="3" t="inlineStr">
        <is>
          <t>CAR</t>
        </is>
      </c>
      <c r="D502" s="3" t="inlineStr">
        <is>
          <t>CVO</t>
        </is>
      </c>
      <c r="E502" s="3" t="n">
        <v>20</v>
      </c>
      <c r="F502" s="3" t="n">
        <v>1</v>
      </c>
      <c r="G502" s="3">
        <f>E502/F502</f>
        <v/>
      </c>
      <c r="H502" s="3" t="n">
        <v>550</v>
      </c>
      <c r="I502" s="4" t="n">
        <v>440</v>
      </c>
      <c r="J502" s="4">
        <f>I502/1.18</f>
        <v/>
      </c>
      <c r="K502" s="5" t="n">
        <v>0</v>
      </c>
      <c r="L502" s="5">
        <f>(K502)*F502</f>
        <v/>
      </c>
      <c r="M502" s="4">
        <f>J502-L502</f>
        <v/>
      </c>
      <c r="N502" s="3" t="n"/>
      <c r="O502" s="4">
        <f>M502-N502</f>
        <v/>
      </c>
      <c r="P502" s="6">
        <f>O502*1.18</f>
        <v/>
      </c>
    </row>
    <row r="503">
      <c r="A503" s="2" t="n">
        <v>772230254</v>
      </c>
      <c r="B503" s="2" t="inlineStr">
        <is>
          <t>SERVO PRIDE ALT CK4 10W-30-18 L</t>
        </is>
      </c>
      <c r="C503" s="3" t="inlineStr">
        <is>
          <t>BUC</t>
        </is>
      </c>
      <c r="D503" s="3" t="inlineStr">
        <is>
          <t>CVO</t>
        </is>
      </c>
      <c r="E503" s="3" t="n">
        <v>18</v>
      </c>
      <c r="F503" s="3" t="n">
        <v>18</v>
      </c>
      <c r="G503" s="3">
        <f>E503/F503</f>
        <v/>
      </c>
      <c r="H503" s="3" t="n">
        <v>9504</v>
      </c>
      <c r="I503" s="4" t="n">
        <v>7603.2</v>
      </c>
      <c r="J503" s="4">
        <f>I503/1.18</f>
        <v/>
      </c>
      <c r="K503" s="5" t="n">
        <v>0</v>
      </c>
      <c r="L503" s="5">
        <f>(K503)*F503</f>
        <v/>
      </c>
      <c r="M503" s="4">
        <f>J503-L503</f>
        <v/>
      </c>
      <c r="N503" s="3" t="n"/>
      <c r="O503" s="4">
        <f>M503-N503</f>
        <v/>
      </c>
      <c r="P503" s="6">
        <f>O503*1.18</f>
        <v/>
      </c>
    </row>
    <row r="504">
      <c r="A504" s="2" t="n">
        <v>772230283</v>
      </c>
      <c r="B504" s="2" t="inlineStr">
        <is>
          <t>SERVO PRIDE ALT CK4 10W-30-16 L</t>
        </is>
      </c>
      <c r="C504" s="3" t="inlineStr">
        <is>
          <t>BUC</t>
        </is>
      </c>
      <c r="D504" s="3" t="inlineStr">
        <is>
          <t>CVO</t>
        </is>
      </c>
      <c r="E504" s="3" t="n">
        <v>16</v>
      </c>
      <c r="F504" s="3" t="n">
        <v>16</v>
      </c>
      <c r="G504" s="3">
        <f>E504/F504</f>
        <v/>
      </c>
      <c r="H504" s="3" t="n">
        <v>8464</v>
      </c>
      <c r="I504" s="4" t="n">
        <v>6771.2</v>
      </c>
      <c r="J504" s="4">
        <f>I504/1.18</f>
        <v/>
      </c>
      <c r="K504" s="5" t="n">
        <v>0</v>
      </c>
      <c r="L504" s="5">
        <f>(K504)*F504</f>
        <v/>
      </c>
      <c r="M504" s="4">
        <f>J504-L504</f>
        <v/>
      </c>
      <c r="N504" s="3" t="n"/>
      <c r="O504" s="4">
        <f>M504-N504</f>
        <v/>
      </c>
      <c r="P504" s="6">
        <f>O504*1.18</f>
        <v/>
      </c>
    </row>
    <row r="505">
      <c r="A505" s="2" t="n">
        <v>772232316</v>
      </c>
      <c r="B505" s="2" t="inlineStr">
        <is>
          <t>SERVO PRIDE ALT CK4 10W-30-16 L PROMO</t>
        </is>
      </c>
      <c r="C505" s="3" t="inlineStr">
        <is>
          <t>BUC</t>
        </is>
      </c>
      <c r="D505" s="3" t="inlineStr">
        <is>
          <t>CVO</t>
        </is>
      </c>
      <c r="E505" s="3" t="n">
        <v>16</v>
      </c>
      <c r="F505" s="3" t="n">
        <v>16</v>
      </c>
      <c r="G505" s="3">
        <f>E505/F505</f>
        <v/>
      </c>
      <c r="H505" s="3" t="n">
        <v>8464</v>
      </c>
      <c r="I505" s="4" t="n">
        <v>6771.2</v>
      </c>
      <c r="J505" s="4">
        <f>I505/1.18</f>
        <v/>
      </c>
      <c r="K505" s="5" t="n">
        <v>0</v>
      </c>
      <c r="L505" s="5">
        <f>(K505)*F505</f>
        <v/>
      </c>
      <c r="M505" s="4">
        <f>J505-L505</f>
        <v/>
      </c>
      <c r="N505" s="3" t="n"/>
      <c r="O505" s="4">
        <f>M505-N505</f>
        <v/>
      </c>
      <c r="P505" s="6">
        <f>O505*1.18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Rubab, Mohd Umar(मोहम्मद उमर रुबाब)</dc:creator>
  <dcterms:created xmlns:dcterms="http://purl.org/dc/terms/" xmlns:xsi="http://www.w3.org/2001/XMLSchema-instance" xsi:type="dcterms:W3CDTF">2026-10-15T11:26:23Z</dcterms:created>
  <dcterms:modified xmlns:dcterms="http://purl.org/dc/terms/" xmlns:xsi="http://www.w3.org/2001/XMLSchema-instance" xsi:type="dcterms:W3CDTF">2026-10-15T12:19:03Z</dcterms:modified>
  <cp:lastModifiedBy>Rubab, Mohd Umar(मोहम्मद उमर रुबाब)</cp:lastModifiedBy>
</cp:coreProperties>
</file>